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" sheetId="1" r:id="rId1"/>
    <sheet name="2026" sheetId="2" r:id="rId2"/>
    <sheet name="Auswertung" sheetId="3" r:id="rId3"/>
  </sheets>
  <calcPr calcId="124519" fullCalcOnLoad="1"/>
</workbook>
</file>

<file path=xl/sharedStrings.xml><?xml version="1.0" encoding="utf-8"?>
<sst xmlns="http://schemas.openxmlformats.org/spreadsheetml/2006/main" count="4238" uniqueCount="1501">
  <si>
    <t>Auftragsbuch 2025 – Brenner Haustechnik</t>
  </si>
  <si>
    <t>Stand 15.10.2026</t>
  </si>
  <si>
    <t>Auftr.-Nr.</t>
  </si>
  <si>
    <t>Datum</t>
  </si>
  <si>
    <t>Kd-Nr</t>
  </si>
  <si>
    <t>Kunde</t>
  </si>
  <si>
    <t>Objekt / Einsatzort</t>
  </si>
  <si>
    <t>Art</t>
  </si>
  <si>
    <t>Beschreibung</t>
  </si>
  <si>
    <t>Monteur</t>
  </si>
  <si>
    <t>Status</t>
  </si>
  <si>
    <t>Wert netto</t>
  </si>
  <si>
    <t>erledigt am</t>
  </si>
  <si>
    <t>Rechnung</t>
  </si>
  <si>
    <t>A-25-001</t>
  </si>
  <si>
    <t>Berger, Ramona</t>
  </si>
  <si>
    <t>Teplitzer Straße 163</t>
  </si>
  <si>
    <t>Wartung</t>
  </si>
  <si>
    <t>Wartung Ölheizung</t>
  </si>
  <si>
    <t>DH</t>
  </si>
  <si>
    <t>abgerechnet</t>
  </si>
  <si>
    <t>139,00 €</t>
  </si>
  <si>
    <t>RE-2025-0005</t>
  </si>
  <si>
    <t>A-25-002</t>
  </si>
  <si>
    <t>Lange, Florian</t>
  </si>
  <si>
    <t>Königsbrücker Straße 101</t>
  </si>
  <si>
    <t>Reparatur</t>
  </si>
  <si>
    <t>Austausch Thermostatventil</t>
  </si>
  <si>
    <t>JK</t>
  </si>
  <si>
    <t>A-25-003</t>
  </si>
  <si>
    <t>Hausverwaltung Kröber</t>
  </si>
  <si>
    <t>Nürnberger Straße 73</t>
  </si>
  <si>
    <t>Notdienst</t>
  </si>
  <si>
    <t>Verstopfung Grundleitung</t>
  </si>
  <si>
    <t>AY</t>
  </si>
  <si>
    <t>RE-2025-0006</t>
  </si>
  <si>
    <t>A-25-004</t>
  </si>
  <si>
    <t>WEG-Verwaltung Blasewitz GmbH</t>
  </si>
  <si>
    <t>Prießnitzstraße 111</t>
  </si>
  <si>
    <t>Zirkulationspumpe defekt</t>
  </si>
  <si>
    <t>MR</t>
  </si>
  <si>
    <t>ca. 910</t>
  </si>
  <si>
    <t>RE-2025-0001</t>
  </si>
  <si>
    <t>A-25-005</t>
  </si>
  <si>
    <t>Fr. Ebert</t>
  </si>
  <si>
    <t>Kesselsdorfer Straße 124</t>
  </si>
  <si>
    <t>Badsanierung</t>
  </si>
  <si>
    <t>Badumbau barrierefrei</t>
  </si>
  <si>
    <t>MR/KS</t>
  </si>
  <si>
    <t>RE-2025-0003, RE-2025-0021</t>
  </si>
  <si>
    <t>A-25-006</t>
  </si>
  <si>
    <t>Heizungstausch</t>
  </si>
  <si>
    <t>Einbau Wärmepumpe Luft/Wasser</t>
  </si>
  <si>
    <t>AY/KS</t>
  </si>
  <si>
    <t>A-25-007</t>
  </si>
  <si>
    <t>Bauer, Claudia</t>
  </si>
  <si>
    <t>Karcherallee 122</t>
  </si>
  <si>
    <t>RE-2025-0007, RE-2025-0015</t>
  </si>
  <si>
    <t>A-25-008</t>
  </si>
  <si>
    <t>Hofmann, Klaus</t>
  </si>
  <si>
    <t>Borsbergstraße 22</t>
  </si>
  <si>
    <t>Montage</t>
  </si>
  <si>
    <t>Montage Wand-WC</t>
  </si>
  <si>
    <t>storniert</t>
  </si>
  <si>
    <t>ca. 1070</t>
  </si>
  <si>
    <t>A-25-009</t>
  </si>
  <si>
    <t>Städtische Wohnungsgesellschaft Freital mbH</t>
  </si>
  <si>
    <t>Hamburger Straße 23</t>
  </si>
  <si>
    <t>Rohrbruch Küche</t>
  </si>
  <si>
    <t>RE-2025-0008</t>
  </si>
  <si>
    <t>A-25-010</t>
  </si>
  <si>
    <t>Neumann, Kerstin</t>
  </si>
  <si>
    <t>Stauffenbergallee 92a</t>
  </si>
  <si>
    <t>Austausch Gaskessel gegen Brennwert</t>
  </si>
  <si>
    <t>erledigt</t>
  </si>
  <si>
    <t>A-25-011</t>
  </si>
  <si>
    <t>Immobilienverwaltung Weißer Hirsch GmbH</t>
  </si>
  <si>
    <t>Rudolf-Leonhard-Straße 3</t>
  </si>
  <si>
    <t>Jahreswartung Gastherme</t>
  </si>
  <si>
    <t>KW 4</t>
  </si>
  <si>
    <t>RE-2025-0009</t>
  </si>
  <si>
    <t>A-25-012</t>
  </si>
  <si>
    <t>Bäckerei Hoffmann</t>
  </si>
  <si>
    <t>Königsbrücker Straße 56</t>
  </si>
  <si>
    <t>Montage Waschtisch</t>
  </si>
  <si>
    <t>ca. 1680</t>
  </si>
  <si>
    <t>RE-2025-0013</t>
  </si>
  <si>
    <t>A-25-013</t>
  </si>
  <si>
    <t>Wartung Gas-Brennwertkessel</t>
  </si>
  <si>
    <t>RE-2025-0011</t>
  </si>
  <si>
    <t>A-25-014</t>
  </si>
  <si>
    <t>Schwarz, Ralf</t>
  </si>
  <si>
    <t>Görlitzer Straße 121</t>
  </si>
  <si>
    <t>RE-2025-0012, RE-2025-0050</t>
  </si>
  <si>
    <t>A-25-015</t>
  </si>
  <si>
    <t>WEG-Verwaltung Blasewitz</t>
  </si>
  <si>
    <t>A-25-016</t>
  </si>
  <si>
    <t>Fr. Seidel</t>
  </si>
  <si>
    <t>Meißner Landstraße 51</t>
  </si>
  <si>
    <t>RE-2025-0017</t>
  </si>
  <si>
    <t>A-25-017</t>
  </si>
  <si>
    <t>Wagner, Volker</t>
  </si>
  <si>
    <t>Pillnitzer Landstraße 80a</t>
  </si>
  <si>
    <t>Heizungsausfall Wochenende</t>
  </si>
  <si>
    <t>RE-2025-0014</t>
  </si>
  <si>
    <t>A-25-018</t>
  </si>
  <si>
    <t>Autohaus Pieschen</t>
  </si>
  <si>
    <t>Bergstraße 11</t>
  </si>
  <si>
    <t>Druckverlust Heizung</t>
  </si>
  <si>
    <t>RE-2025-0022</t>
  </si>
  <si>
    <t>A-25-019</t>
  </si>
  <si>
    <t>Martin-Luther-Straße 55</t>
  </si>
  <si>
    <t>A-25-020</t>
  </si>
  <si>
    <t>Mirko Vogel</t>
  </si>
  <si>
    <t>Cossebauder Straße 10</t>
  </si>
  <si>
    <t>RE-2025-0024</t>
  </si>
  <si>
    <t>A-25-021</t>
  </si>
  <si>
    <t>Fitnessstudio ElbeFit GmbH</t>
  </si>
  <si>
    <t>Bahnhofstraße 142</t>
  </si>
  <si>
    <t>Wartung Wärmepumpe</t>
  </si>
  <si>
    <t>RE-2025-0020</t>
  </si>
  <si>
    <t>A-25-022</t>
  </si>
  <si>
    <t>Krause, Anja</t>
  </si>
  <si>
    <t>Prießnitzstraße 174</t>
  </si>
  <si>
    <t>Austausch Warmwasserspeicher</t>
  </si>
  <si>
    <t>ca. 1710</t>
  </si>
  <si>
    <t>RE-2025-0023</t>
  </si>
  <si>
    <t>Summe Januar 2025</t>
  </si>
  <si>
    <t>A-25-023</t>
  </si>
  <si>
    <t>Müller GmbH &amp; Co. KG</t>
  </si>
  <si>
    <t>Großenhainer Straße 101</t>
  </si>
  <si>
    <t>A-25-024</t>
  </si>
  <si>
    <t>Schröder, Kerstin</t>
  </si>
  <si>
    <t>Tharandter Straße 103a</t>
  </si>
  <si>
    <t>RE-2025-0030</t>
  </si>
  <si>
    <t>A-25-025</t>
  </si>
  <si>
    <t>Engel, Rainer</t>
  </si>
  <si>
    <t>Nürnberger Straße 9</t>
  </si>
  <si>
    <t>RE-2025-0016</t>
  </si>
  <si>
    <t>A-25-026</t>
  </si>
  <si>
    <t>Horn, Sandra</t>
  </si>
  <si>
    <t>Bergstraße 39a</t>
  </si>
  <si>
    <t>RE-2025-0025, RE-2025-0055</t>
  </si>
  <si>
    <t>A-25-027</t>
  </si>
  <si>
    <t>WG Elbtal eG</t>
  </si>
  <si>
    <t>Harthaer Straße 7</t>
  </si>
  <si>
    <t>Heizung ohne Funktion</t>
  </si>
  <si>
    <t>RE-2025-0019</t>
  </si>
  <si>
    <t>A-25-028</t>
  </si>
  <si>
    <t>Fr. Horn</t>
  </si>
  <si>
    <t>Kesselsdorfer Straße 116</t>
  </si>
  <si>
    <t>Heizungsmodernisierung</t>
  </si>
  <si>
    <t>RE-2025-0028, RE-2025-0041</t>
  </si>
  <si>
    <t>A-25-029</t>
  </si>
  <si>
    <t>Autohaus Pieschen GmbH</t>
  </si>
  <si>
    <t>Spülkasten läuft nach</t>
  </si>
  <si>
    <t>KW 7</t>
  </si>
  <si>
    <t>RE-2025-0027</t>
  </si>
  <si>
    <t>A-25-030</t>
  </si>
  <si>
    <t>Neumann, Anett</t>
  </si>
  <si>
    <t>Rudolf-Leonhard-Straße 147</t>
  </si>
  <si>
    <t>RE-2025-0034</t>
  </si>
  <si>
    <t>A-25-031</t>
  </si>
  <si>
    <t>Ebert, Anja</t>
  </si>
  <si>
    <t>Hamburger Straße 97</t>
  </si>
  <si>
    <t>13.880,00 €</t>
  </si>
  <si>
    <t>RE-2025-0031, RE-2025-0054</t>
  </si>
  <si>
    <t>A-25-032</t>
  </si>
  <si>
    <t>RE-2025-0037</t>
  </si>
  <si>
    <t>A-25-033</t>
  </si>
  <si>
    <t>Gaststätte Zur Linde</t>
  </si>
  <si>
    <t>Nürnberger Straße 164</t>
  </si>
  <si>
    <t>Einbau Enthärtungsanlage</t>
  </si>
  <si>
    <t>ca. 1720</t>
  </si>
  <si>
    <t>RE-2025-0033</t>
  </si>
  <si>
    <t>A-25-034</t>
  </si>
  <si>
    <t>Kindergarten Elbspatzen e.V.</t>
  </si>
  <si>
    <t>Königsbrücker Straße 33b</t>
  </si>
  <si>
    <t>A-25-035</t>
  </si>
  <si>
    <t>Uhlig, Jörg</t>
  </si>
  <si>
    <t>Martin-Luther-Straße 99b</t>
  </si>
  <si>
    <t>Montage Heizkörper</t>
  </si>
  <si>
    <t>A-25-036</t>
  </si>
  <si>
    <t>Gäste-WC Sanierung</t>
  </si>
  <si>
    <t>RE-2025-0032, RE-2025-0064</t>
  </si>
  <si>
    <t>A-25-037</t>
  </si>
  <si>
    <t>Merianplatz 9</t>
  </si>
  <si>
    <t>A-25-038</t>
  </si>
  <si>
    <t>Siphon undicht</t>
  </si>
  <si>
    <t>A-25-039</t>
  </si>
  <si>
    <t>A-25-040</t>
  </si>
  <si>
    <t>Berger, Gerd</t>
  </si>
  <si>
    <t>Gartenstraße 102a</t>
  </si>
  <si>
    <t>A-25-041</t>
  </si>
  <si>
    <t>Blumen Kretschmar</t>
  </si>
  <si>
    <t>Rudolf-Leonhard-Straße 2</t>
  </si>
  <si>
    <t>RE-2025-0040</t>
  </si>
  <si>
    <t>A-25-042</t>
  </si>
  <si>
    <t>Stauffenbergallee 98</t>
  </si>
  <si>
    <t>Kowalski</t>
  </si>
  <si>
    <t>RE-2025-0045</t>
  </si>
  <si>
    <t>Summe Februar 2025</t>
  </si>
  <si>
    <t>A-25-043</t>
  </si>
  <si>
    <t>Hr. Schwarz</t>
  </si>
  <si>
    <t>Tolkewitzer Straße 48</t>
  </si>
  <si>
    <t>RE-2025-0047</t>
  </si>
  <si>
    <t>A-25-044</t>
  </si>
  <si>
    <t>Weinstube Radebeul</t>
  </si>
  <si>
    <t>Bahnhofstraße 67b</t>
  </si>
  <si>
    <t>RE-2025-0039</t>
  </si>
  <si>
    <t>A-25-045</t>
  </si>
  <si>
    <t>RE-2025-0042</t>
  </si>
  <si>
    <t>A-25-046</t>
  </si>
  <si>
    <t>A-25-047</t>
  </si>
  <si>
    <t>RE-2025-0046</t>
  </si>
  <si>
    <t>A-25-048</t>
  </si>
  <si>
    <t>Steuerbüro Ullrich</t>
  </si>
  <si>
    <t>Grundstraße 116</t>
  </si>
  <si>
    <t>A-25-049</t>
  </si>
  <si>
    <t>Restaurant Zum Goldenen Anker GmbH</t>
  </si>
  <si>
    <t>Gamigstraße 52</t>
  </si>
  <si>
    <t>RE-2025-0049</t>
  </si>
  <si>
    <t>A-25-050</t>
  </si>
  <si>
    <t>HV Schulze u. Partner</t>
  </si>
  <si>
    <t>Gompitzer Höhe 4</t>
  </si>
  <si>
    <t>Trinkwasser</t>
  </si>
  <si>
    <t>Spülung Trinkwasseranlage</t>
  </si>
  <si>
    <t>A-25-051</t>
  </si>
  <si>
    <t>Müller GmbH &amp; Co.KG</t>
  </si>
  <si>
    <t>A-25-052</t>
  </si>
  <si>
    <t>Alaunstraße 95</t>
  </si>
  <si>
    <t>A-25-053</t>
  </si>
  <si>
    <t>Städtische Wohnungsgesellschaft Freital</t>
  </si>
  <si>
    <t>Strangsanierung</t>
  </si>
  <si>
    <t>Strangsanierung Trinkwasser</t>
  </si>
  <si>
    <t>KW 14</t>
  </si>
  <si>
    <t>A-25-054</t>
  </si>
  <si>
    <t>Horn, Yvonne</t>
  </si>
  <si>
    <t>RE-2025-0059, RE-2025-0089</t>
  </si>
  <si>
    <t>A-25-055</t>
  </si>
  <si>
    <t>HV Schulze &amp; Partner</t>
  </si>
  <si>
    <t>Kesselsdorfer Straße 210</t>
  </si>
  <si>
    <t>Kein Warmwasser</t>
  </si>
  <si>
    <t>RE-2025-0056</t>
  </si>
  <si>
    <t>A-25-056</t>
  </si>
  <si>
    <t>Grafe, Uwe</t>
  </si>
  <si>
    <t>Kesselsdorfer Straße 150</t>
  </si>
  <si>
    <t>KW 13</t>
  </si>
  <si>
    <t>RE-2025-0061</t>
  </si>
  <si>
    <t>A-25-057</t>
  </si>
  <si>
    <t>Pension Loschwitz</t>
  </si>
  <si>
    <t>Bautzner Straße 13a</t>
  </si>
  <si>
    <t>RE-2025-0058</t>
  </si>
  <si>
    <t>A-25-058</t>
  </si>
  <si>
    <t>A-25-059</t>
  </si>
  <si>
    <t>462,00 €</t>
  </si>
  <si>
    <t>RE-2025-0057</t>
  </si>
  <si>
    <t>A-25-060</t>
  </si>
  <si>
    <t>Schmidt, Peter</t>
  </si>
  <si>
    <t>Leipziger Straße 12</t>
  </si>
  <si>
    <t>189,00 €</t>
  </si>
  <si>
    <t>RE-2025-0066</t>
  </si>
  <si>
    <t>Summe März 2025</t>
  </si>
  <si>
    <t>A-25-061</t>
  </si>
  <si>
    <t>Müller Bau GmbH</t>
  </si>
  <si>
    <t>Radeburger Straße 5</t>
  </si>
  <si>
    <t>Legionellenprüfung</t>
  </si>
  <si>
    <t>441,00 €</t>
  </si>
  <si>
    <t>RE-2025-0062</t>
  </si>
  <si>
    <t>A-25-062</t>
  </si>
  <si>
    <t>Horn, Torsten</t>
  </si>
  <si>
    <t>Gamigstraße 110a</t>
  </si>
  <si>
    <t>RE-2025-0070</t>
  </si>
  <si>
    <t>A-25-063</t>
  </si>
  <si>
    <t>ca. 830</t>
  </si>
  <si>
    <t>RE-2025-0073</t>
  </si>
  <si>
    <t>A-25-064</t>
  </si>
  <si>
    <t>Restaurant Zum Goldenen Anker</t>
  </si>
  <si>
    <t>918,00 €</t>
  </si>
  <si>
    <t>RE-2025-0076</t>
  </si>
  <si>
    <t>A-25-065</t>
  </si>
  <si>
    <t>Tharandter Straße 55</t>
  </si>
  <si>
    <t>RE-2025-0063</t>
  </si>
  <si>
    <t>A-25-066</t>
  </si>
  <si>
    <t>Zahnarztpraxis Dr. Lehmann</t>
  </si>
  <si>
    <t>Wiener Straße 33</t>
  </si>
  <si>
    <t>RE-2025-0069</t>
  </si>
  <si>
    <t>A-25-067</t>
  </si>
  <si>
    <t>Malerbetrieb Thiele GmbH</t>
  </si>
  <si>
    <t>Altenberger Straße 44</t>
  </si>
  <si>
    <t>RE-2025-0075</t>
  </si>
  <si>
    <t>A-25-068</t>
  </si>
  <si>
    <t>Hydr. Abgleich</t>
  </si>
  <si>
    <t>Hydraulischer Abgleich</t>
  </si>
  <si>
    <t>RE-2025-0071</t>
  </si>
  <si>
    <t>A-25-069</t>
  </si>
  <si>
    <t>Chemnitzer Straße 45</t>
  </si>
  <si>
    <t>Trinkwasseruntersuchung</t>
  </si>
  <si>
    <t>RE-2025-0072</t>
  </si>
  <si>
    <t>A-25-070</t>
  </si>
  <si>
    <t>Kanzlei Seidel &amp; Kollegen</t>
  </si>
  <si>
    <t>Görlitzer Straße 148</t>
  </si>
  <si>
    <t>Armatur tropft</t>
  </si>
  <si>
    <t>RE-2025-0068</t>
  </si>
  <si>
    <t>A-25-071</t>
  </si>
  <si>
    <t>Petzold, Detlef</t>
  </si>
  <si>
    <t>Bischofsweg 111a</t>
  </si>
  <si>
    <t>RE-2025-0081</t>
  </si>
  <si>
    <t>A-25-072</t>
  </si>
  <si>
    <t>Günther, Franziska</t>
  </si>
  <si>
    <t>Lockwitzer Straße 163b</t>
  </si>
  <si>
    <t>RE-2025-0082</t>
  </si>
  <si>
    <t>A-25-073</t>
  </si>
  <si>
    <t>Berger, Sandra</t>
  </si>
  <si>
    <t>Meißner Landstraße 168</t>
  </si>
  <si>
    <t>KW 17</t>
  </si>
  <si>
    <t>A-25-074</t>
  </si>
  <si>
    <t>RE-2025-0080</t>
  </si>
  <si>
    <t>A-25-075</t>
  </si>
  <si>
    <t>Frank, Franziska</t>
  </si>
  <si>
    <t>Stauffenbergallee 156a</t>
  </si>
  <si>
    <t>A-25-076</t>
  </si>
  <si>
    <t>Neumann, Uwe</t>
  </si>
  <si>
    <t>Gartenstraße 118a</t>
  </si>
  <si>
    <t>115,00 €</t>
  </si>
  <si>
    <t>RE-2025-0074</t>
  </si>
  <si>
    <t>A-25-077</t>
  </si>
  <si>
    <t>Hartmann, Ines</t>
  </si>
  <si>
    <t>Chemnitzer Straße 145</t>
  </si>
  <si>
    <t>RE-2025-0078</t>
  </si>
  <si>
    <t>A-25-078</t>
  </si>
  <si>
    <t>RE-2025-0079</t>
  </si>
  <si>
    <t>A-25-079</t>
  </si>
  <si>
    <t>Wohnungsbaugenossenschaft Johannstadt eG</t>
  </si>
  <si>
    <t>Leipziger Straße 20</t>
  </si>
  <si>
    <t>RE-2025-0084</t>
  </si>
  <si>
    <t>A-25-080</t>
  </si>
  <si>
    <t>RE-2025-0083</t>
  </si>
  <si>
    <t>A-25-081</t>
  </si>
  <si>
    <t>RE-2025-0086</t>
  </si>
  <si>
    <t>A-25-082</t>
  </si>
  <si>
    <t>Görlitzer Straße 88</t>
  </si>
  <si>
    <t>RE-2025-0092</t>
  </si>
  <si>
    <t>A-25-083</t>
  </si>
  <si>
    <t>Summe April 2025</t>
  </si>
  <si>
    <t>A-25-084</t>
  </si>
  <si>
    <t>Kühn, Doreen</t>
  </si>
  <si>
    <t>Prohliser Allee 32b</t>
  </si>
  <si>
    <t>A-25-085</t>
  </si>
  <si>
    <t>Sportverein Blau-Weiß Dresden e.V.</t>
  </si>
  <si>
    <t>Borsbergstraße 115</t>
  </si>
  <si>
    <t>RE-2025-0093</t>
  </si>
  <si>
    <t>A-25-086</t>
  </si>
  <si>
    <t>RE-2025-0095</t>
  </si>
  <si>
    <t>A-25-087</t>
  </si>
  <si>
    <t>A-25-088</t>
  </si>
  <si>
    <t>KW 19</t>
  </si>
  <si>
    <t>RE-2025-0087</t>
  </si>
  <si>
    <t>A-25-089</t>
  </si>
  <si>
    <t>Krüger, Andreas (Dr.)</t>
  </si>
  <si>
    <t>Bergstraße 61</t>
  </si>
  <si>
    <t>pauschal 139,-</t>
  </si>
  <si>
    <t>RE-2025-0088</t>
  </si>
  <si>
    <t>A-25-090</t>
  </si>
  <si>
    <t>Chemnitzer Straße 19</t>
  </si>
  <si>
    <t>Strangsanierung Abwasser + TW</t>
  </si>
  <si>
    <t>RE-2025-0091, RE-2025-0116</t>
  </si>
  <si>
    <t>A-25-091</t>
  </si>
  <si>
    <t>Yılmaz</t>
  </si>
  <si>
    <t>RE-2025-0101</t>
  </si>
  <si>
    <t>A-25-092</t>
  </si>
  <si>
    <t>Praxis Dr. med. dent. Lehmann</t>
  </si>
  <si>
    <t>A-25-093</t>
  </si>
  <si>
    <t>RE-2025-0097</t>
  </si>
  <si>
    <t>A-25-094</t>
  </si>
  <si>
    <t>RE-2025-0098, RE-2025-0123</t>
  </si>
  <si>
    <t>A-25-095</t>
  </si>
  <si>
    <t>RE-2025-0096, RE-2025-0141</t>
  </si>
  <si>
    <t>A-25-096</t>
  </si>
  <si>
    <t>RE-2025-0112</t>
  </si>
  <si>
    <t>A-25-097</t>
  </si>
  <si>
    <t>Optik Haubold</t>
  </si>
  <si>
    <t>Prießnitzstraße 30</t>
  </si>
  <si>
    <t>307,00 €</t>
  </si>
  <si>
    <t>RE-2025-0105</t>
  </si>
  <si>
    <t>A-25-098</t>
  </si>
  <si>
    <t>Bauer, Uwe</t>
  </si>
  <si>
    <t>Alaunstraße 127</t>
  </si>
  <si>
    <t>RE-2025-0100, RE-2025-0124</t>
  </si>
  <si>
    <t>A-25-099</t>
  </si>
  <si>
    <t>Louisenstraße 16</t>
  </si>
  <si>
    <t>RE-2025-0102</t>
  </si>
  <si>
    <t>A-25-100</t>
  </si>
  <si>
    <t>A-25-101</t>
  </si>
  <si>
    <t>RE-2025-0103</t>
  </si>
  <si>
    <t>A-25-102</t>
  </si>
  <si>
    <t>Lorenz, Martin</t>
  </si>
  <si>
    <t>Pirnaer Landstraße 103</t>
  </si>
  <si>
    <t>KW 21</t>
  </si>
  <si>
    <t>RE-2025-0110</t>
  </si>
  <si>
    <t>A-25-103</t>
  </si>
  <si>
    <t>Mirko Franke</t>
  </si>
  <si>
    <t>Bergstraße 119b</t>
  </si>
  <si>
    <t>RE-2025-0108</t>
  </si>
  <si>
    <t>A-25-104</t>
  </si>
  <si>
    <t>RE-2025-0106</t>
  </si>
  <si>
    <t>A-25-105</t>
  </si>
  <si>
    <t>A-25-106</t>
  </si>
  <si>
    <t>A-25-107</t>
  </si>
  <si>
    <t>Hotel Elbblick</t>
  </si>
  <si>
    <t>Chemnitzer Straße 133</t>
  </si>
  <si>
    <t>RE-2025-0107</t>
  </si>
  <si>
    <t>A-25-108</t>
  </si>
  <si>
    <t>Hr. Krause</t>
  </si>
  <si>
    <t>Kesselsdorfer Straße 65</t>
  </si>
  <si>
    <t>A-25-109</t>
  </si>
  <si>
    <t>RE-2025-0113, RE-2025-0144</t>
  </si>
  <si>
    <t>A-25-110</t>
  </si>
  <si>
    <t>RE-2025-0115, RE-2025-0156</t>
  </si>
  <si>
    <t>Summe Mai 2025</t>
  </si>
  <si>
    <t>A-25-111</t>
  </si>
  <si>
    <t>Thiele, René</t>
  </si>
  <si>
    <t>Hamburger Straße 123</t>
  </si>
  <si>
    <t>RE-2025-0117</t>
  </si>
  <si>
    <t>A-25-112</t>
  </si>
  <si>
    <t>Ullrich, Anja</t>
  </si>
  <si>
    <t>Rudolf-Leonhard-Straße 114</t>
  </si>
  <si>
    <t>RE-2025-0120</t>
  </si>
  <si>
    <t>A-25-113</t>
  </si>
  <si>
    <t>Klaus Hoffmann</t>
  </si>
  <si>
    <t>Borsbergstr. 22</t>
  </si>
  <si>
    <t>RE-2025-0121</t>
  </si>
  <si>
    <t>A-25-114</t>
  </si>
  <si>
    <t>Franke, Dagmar</t>
  </si>
  <si>
    <t>Freiberger Straße 153b</t>
  </si>
  <si>
    <t>Wasserschaden Keller</t>
  </si>
  <si>
    <t>RE-2025-0122</t>
  </si>
  <si>
    <t>A-25-115</t>
  </si>
  <si>
    <t>600,00 €</t>
  </si>
  <si>
    <t>RE-2025-0131</t>
  </si>
  <si>
    <t>A-25-116</t>
  </si>
  <si>
    <t>Wagner, Steffi</t>
  </si>
  <si>
    <t>Cossebauder Straße 117a</t>
  </si>
  <si>
    <t>RE-2025-0129</t>
  </si>
  <si>
    <t>A-25-117</t>
  </si>
  <si>
    <t>Friseursalon Haarmonie</t>
  </si>
  <si>
    <t>Altenberger Straße 163</t>
  </si>
  <si>
    <t>A-25-118</t>
  </si>
  <si>
    <t>ca. 1280</t>
  </si>
  <si>
    <t>RE-2025-0118</t>
  </si>
  <si>
    <t>A-25-119</t>
  </si>
  <si>
    <t>Bautzner Straße 13</t>
  </si>
  <si>
    <t>RE-2025-0136</t>
  </si>
  <si>
    <t>A-25-120</t>
  </si>
  <si>
    <t>Müller Elektro</t>
  </si>
  <si>
    <t>Pirnaer Landstraße 88</t>
  </si>
  <si>
    <t>RE-2025-0128</t>
  </si>
  <si>
    <t>A-25-121</t>
  </si>
  <si>
    <t>Fa. Müller Bau</t>
  </si>
  <si>
    <t>A-25-122</t>
  </si>
  <si>
    <t>ca. 620</t>
  </si>
  <si>
    <t>RE-2025-0133</t>
  </si>
  <si>
    <t>A-25-123</t>
  </si>
  <si>
    <t>RE-2025-0126</t>
  </si>
  <si>
    <t>A-25-124</t>
  </si>
  <si>
    <t>Schulze &amp; Partner</t>
  </si>
  <si>
    <t>RE-2025-0135</t>
  </si>
  <si>
    <t>A-25-125</t>
  </si>
  <si>
    <t>Krause, Olaf</t>
  </si>
  <si>
    <t>A-25-126</t>
  </si>
  <si>
    <t>Petzold, Elke</t>
  </si>
  <si>
    <t>Louisenstraße 122</t>
  </si>
  <si>
    <t>Hoffmann</t>
  </si>
  <si>
    <t>RE-2025-0132, RE-2025-0169</t>
  </si>
  <si>
    <t>A-25-127</t>
  </si>
  <si>
    <t>RE-2025-0139</t>
  </si>
  <si>
    <t>A-25-128</t>
  </si>
  <si>
    <t>RE-2025-0134</t>
  </si>
  <si>
    <t>Summe Juni 2025</t>
  </si>
  <si>
    <t>A-25-129</t>
  </si>
  <si>
    <t>Altgorbitzer Ring 21</t>
  </si>
  <si>
    <t>RE-2025-0140</t>
  </si>
  <si>
    <t>A-25-130</t>
  </si>
  <si>
    <t>Franke, Mirko</t>
  </si>
  <si>
    <t>RE-2025-0146</t>
  </si>
  <si>
    <t>A-25-131</t>
  </si>
  <si>
    <t>Ebert, Ute</t>
  </si>
  <si>
    <t>RE-2025-0143, RE-2025-0180</t>
  </si>
  <si>
    <t>A-25-132</t>
  </si>
  <si>
    <t>Martin Lorenz</t>
  </si>
  <si>
    <t>A-25-133</t>
  </si>
  <si>
    <t>Holger Horn</t>
  </si>
  <si>
    <t>Stauffenbergallee 141</t>
  </si>
  <si>
    <t>RE-2025-0148</t>
  </si>
  <si>
    <t>A-25-134</t>
  </si>
  <si>
    <t>Fitnessstudio ElbeFit</t>
  </si>
  <si>
    <t>RE-2025-0149</t>
  </si>
  <si>
    <t>A-25-135</t>
  </si>
  <si>
    <t>Fischer, Stefan</t>
  </si>
  <si>
    <t>Alaunstraße 58b</t>
  </si>
  <si>
    <t>RE-2025-0147, RE-2025-0190</t>
  </si>
  <si>
    <t>A-25-136</t>
  </si>
  <si>
    <t>Ullrich, René</t>
  </si>
  <si>
    <t>Hamburger Straße 122a</t>
  </si>
  <si>
    <t>A-25-137</t>
  </si>
  <si>
    <t>Werner, Susanne</t>
  </si>
  <si>
    <t>Cossebauder Straße 101a</t>
  </si>
  <si>
    <t>RE-2025-0145</t>
  </si>
  <si>
    <t>A-25-138</t>
  </si>
  <si>
    <t>A-25-139</t>
  </si>
  <si>
    <t>Günther, Silke</t>
  </si>
  <si>
    <t>Winterbergstraße 34b</t>
  </si>
  <si>
    <t>Komplettsanierung Bad</t>
  </si>
  <si>
    <t>RE-2025-0154, RE-2025-0174</t>
  </si>
  <si>
    <t>A-25-140</t>
  </si>
  <si>
    <t>Fiedler, Steffi</t>
  </si>
  <si>
    <t>Nürnberger Straße 88b</t>
  </si>
  <si>
    <t>RE-2025-0150</t>
  </si>
  <si>
    <t>A-25-141</t>
  </si>
  <si>
    <t>Göbel, Anett</t>
  </si>
  <si>
    <t>Borsbergstraße 62</t>
  </si>
  <si>
    <t>A-25-142</t>
  </si>
  <si>
    <t>Müller-Bau</t>
  </si>
  <si>
    <t>RE-2025-0152</t>
  </si>
  <si>
    <t>A-25-143</t>
  </si>
  <si>
    <t>Zwinglistraße 4</t>
  </si>
  <si>
    <t>Hydr. Abgleich + Pumpentausch</t>
  </si>
  <si>
    <t>1.022,00 €</t>
  </si>
  <si>
    <t>RE-2025-0161</t>
  </si>
  <si>
    <t>A-25-144</t>
  </si>
  <si>
    <t>RE-2025-0160</t>
  </si>
  <si>
    <t>A-25-145</t>
  </si>
  <si>
    <t>Thiele, Ines</t>
  </si>
  <si>
    <t>Hamburger Straße 21</t>
  </si>
  <si>
    <t>RE-2025-0155, RE-2025-0181</t>
  </si>
  <si>
    <t>A-25-146</t>
  </si>
  <si>
    <t>Böhme, Steffi</t>
  </si>
  <si>
    <t>Bergstraße 124</t>
  </si>
  <si>
    <t>12.719,00 €</t>
  </si>
  <si>
    <t>RE-2025-0153, RE-2025-0183</t>
  </si>
  <si>
    <t>A-25-147</t>
  </si>
  <si>
    <t>Heinrich, Steffi</t>
  </si>
  <si>
    <t>Hamburger Straße 73a</t>
  </si>
  <si>
    <t>RE-2025-0158, RE-2025-0178</t>
  </si>
  <si>
    <t>A-25-148</t>
  </si>
  <si>
    <t>Stauffenbergallee 105</t>
  </si>
  <si>
    <t>RE-2025-0157</t>
  </si>
  <si>
    <t>A-25-149</t>
  </si>
  <si>
    <t>RE-2025-0164</t>
  </si>
  <si>
    <t>A-25-150</t>
  </si>
  <si>
    <t>RE-2025-0168</t>
  </si>
  <si>
    <t>A-25-151</t>
  </si>
  <si>
    <t>Rößler, Dagmar</t>
  </si>
  <si>
    <t>Hauptstraße 35</t>
  </si>
  <si>
    <t>Summe Juli 2025</t>
  </si>
  <si>
    <t>A-25-152</t>
  </si>
  <si>
    <t>Hausverwaltung Schulze &amp; Partner GbR</t>
  </si>
  <si>
    <t>RE-2025-0165</t>
  </si>
  <si>
    <t>A-25-153</t>
  </si>
  <si>
    <t>Hr. Grafe</t>
  </si>
  <si>
    <t>RE-2025-0166</t>
  </si>
  <si>
    <t>A-25-154</t>
  </si>
  <si>
    <t>A-25-155</t>
  </si>
  <si>
    <t>A-25-156</t>
  </si>
  <si>
    <t>Wagner, Yvonne</t>
  </si>
  <si>
    <t>Louisenstraße 116a</t>
  </si>
  <si>
    <t>A-25-157</t>
  </si>
  <si>
    <t>RE-2025-0172</t>
  </si>
  <si>
    <t>A-25-158</t>
  </si>
  <si>
    <t>RE-2025-0177, RE-2025-0201</t>
  </si>
  <si>
    <t>A-25-159</t>
  </si>
  <si>
    <t>Hechtstraße 25</t>
  </si>
  <si>
    <t>A-25-160</t>
  </si>
  <si>
    <t>Wohnungsgen. Elbtal</t>
  </si>
  <si>
    <t>Wölfnitzer Ring 40</t>
  </si>
  <si>
    <t>RE-2025-0173</t>
  </si>
  <si>
    <t>A-25-161</t>
  </si>
  <si>
    <t>RE-2025-0179</t>
  </si>
  <si>
    <t>A-25-162</t>
  </si>
  <si>
    <t>Winterbergstraße 69</t>
  </si>
  <si>
    <t>RE-2025-0175</t>
  </si>
  <si>
    <t>A-25-163</t>
  </si>
  <si>
    <t>Stauffenbergallee 79</t>
  </si>
  <si>
    <t>RE-2025-0182</t>
  </si>
  <si>
    <t>A-25-164</t>
  </si>
  <si>
    <t>RE-2025-0184</t>
  </si>
  <si>
    <t>A-25-165</t>
  </si>
  <si>
    <t>Hr. Wagner</t>
  </si>
  <si>
    <t>Cossebauder Straße 58</t>
  </si>
  <si>
    <t>A-25-166</t>
  </si>
  <si>
    <t>ca. 1340</t>
  </si>
  <si>
    <t>RE-2025-0187</t>
  </si>
  <si>
    <t>Summe August 2025</t>
  </si>
  <si>
    <t>A-25-167</t>
  </si>
  <si>
    <t>Wohnungsgenossenschaft Elbtal eG</t>
  </si>
  <si>
    <t>Leutewitzer Ring 12</t>
  </si>
  <si>
    <t>A-25-168</t>
  </si>
  <si>
    <t>Hr. Bauer</t>
  </si>
  <si>
    <t>RE-2025-0188</t>
  </si>
  <si>
    <t>A-25-169</t>
  </si>
  <si>
    <t>Seidel, Antje</t>
  </si>
  <si>
    <t>Hansastraße 131a</t>
  </si>
  <si>
    <t>ca. 420</t>
  </si>
  <si>
    <t>A-25-170</t>
  </si>
  <si>
    <t>MR/LW</t>
  </si>
  <si>
    <t>RE-2025-0191, RE-2025-0213</t>
  </si>
  <si>
    <t>A-25-171</t>
  </si>
  <si>
    <t>RE-2025-0195</t>
  </si>
  <si>
    <t>A-25-172</t>
  </si>
  <si>
    <t>Meier, Susanne</t>
  </si>
  <si>
    <t>Kesselsdorfer Straße 43a</t>
  </si>
  <si>
    <t>RE-2025-0197</t>
  </si>
  <si>
    <t>A-25-173</t>
  </si>
  <si>
    <t>RE-2025-0192, RE-2025-0219</t>
  </si>
  <si>
    <t>A-25-174</t>
  </si>
  <si>
    <t>RE-2025-0193</t>
  </si>
  <si>
    <t>A-25-175</t>
  </si>
  <si>
    <t>Lorenz, Uwe</t>
  </si>
  <si>
    <t>Alaunstraße 155b</t>
  </si>
  <si>
    <t>RE-2025-0196</t>
  </si>
  <si>
    <t>A-25-176</t>
  </si>
  <si>
    <t>ca. 870</t>
  </si>
  <si>
    <t>RE-2025-0204</t>
  </si>
  <si>
    <t>A-25-177</t>
  </si>
  <si>
    <t>RE-2025-0199</t>
  </si>
  <si>
    <t>A-25-178</t>
  </si>
  <si>
    <t>Hostel Neustadt GmbH</t>
  </si>
  <si>
    <t>Görlitzer Straße 91</t>
  </si>
  <si>
    <t>RE-2025-0208</t>
  </si>
  <si>
    <t>A-25-179</t>
  </si>
  <si>
    <t>369,00 €</t>
  </si>
  <si>
    <t>RE-2025-0198</t>
  </si>
  <si>
    <t>A-25-180</t>
  </si>
  <si>
    <t>RE-2025-0202</t>
  </si>
  <si>
    <t>A-25-181</t>
  </si>
  <si>
    <t>A-25-182</t>
  </si>
  <si>
    <t>Hotel Elbblick GmbH</t>
  </si>
  <si>
    <t>RE-2025-0200</t>
  </si>
  <si>
    <t>A-25-183</t>
  </si>
  <si>
    <t>Hr. Becker</t>
  </si>
  <si>
    <t>Görlitzer Straße 156</t>
  </si>
  <si>
    <t>RE-2025-0207</t>
  </si>
  <si>
    <t>Summe September 2025</t>
  </si>
  <si>
    <t>A-25-184</t>
  </si>
  <si>
    <t>Optik Haubold e.K.</t>
  </si>
  <si>
    <t>RE-2025-0205</t>
  </si>
  <si>
    <t>A-25-185</t>
  </si>
  <si>
    <t>A-25-186</t>
  </si>
  <si>
    <t>Braun, Ute</t>
  </si>
  <si>
    <t>Meißner Landstraße 50</t>
  </si>
  <si>
    <t>KW 44</t>
  </si>
  <si>
    <t>A-25-187</t>
  </si>
  <si>
    <t>Haase, Susanne</t>
  </si>
  <si>
    <t>Dohnaer Straße 92</t>
  </si>
  <si>
    <t>RE-2025-0209</t>
  </si>
  <si>
    <t>A-25-188</t>
  </si>
  <si>
    <t>Wehlener Straße 43</t>
  </si>
  <si>
    <t>RE-2025-0206</t>
  </si>
  <si>
    <t>A-25-189</t>
  </si>
  <si>
    <t>Druckerei Lindner GmbH</t>
  </si>
  <si>
    <t>Wehlener Straße 135</t>
  </si>
  <si>
    <t>RE-2025-0212</t>
  </si>
  <si>
    <t>A-25-190</t>
  </si>
  <si>
    <t>DH/LW</t>
  </si>
  <si>
    <t>ca. 14840</t>
  </si>
  <si>
    <t>A-25-191</t>
  </si>
  <si>
    <t>Mueller GmbH</t>
  </si>
  <si>
    <t>RE-2025-0214</t>
  </si>
  <si>
    <t>A-25-192</t>
  </si>
  <si>
    <t>Ludwig, Gabriele</t>
  </si>
  <si>
    <t>Prießnitzstraße 98</t>
  </si>
  <si>
    <t>RE-2025-0211</t>
  </si>
  <si>
    <t>A-25-193</t>
  </si>
  <si>
    <t>RE-2025-0221</t>
  </si>
  <si>
    <t>A-25-194</t>
  </si>
  <si>
    <t>Schwarz, Elke</t>
  </si>
  <si>
    <t>Löbtauer Straße 88</t>
  </si>
  <si>
    <t>1.352,00 €</t>
  </si>
  <si>
    <t>RE-2025-0220</t>
  </si>
  <si>
    <t>A-25-195</t>
  </si>
  <si>
    <t>Heinrich, Jana</t>
  </si>
  <si>
    <t>Großenhainer Straße 15</t>
  </si>
  <si>
    <t>327,00 €</t>
  </si>
  <si>
    <t>A-25-196</t>
  </si>
  <si>
    <t>A-25-197</t>
  </si>
  <si>
    <t>Fr. Meier</t>
  </si>
  <si>
    <t>Cossebauder Straße 114</t>
  </si>
  <si>
    <t>A-25-198</t>
  </si>
  <si>
    <t>Schulze, Gerda</t>
  </si>
  <si>
    <t>Hüblerstraße 8</t>
  </si>
  <si>
    <t>RE-2025-0215</t>
  </si>
  <si>
    <t>A-25-199</t>
  </si>
  <si>
    <t>Schwarz, Romy</t>
  </si>
  <si>
    <t>Gartenstraße 85</t>
  </si>
  <si>
    <t>RE-2025-0218, RE-2025-0254</t>
  </si>
  <si>
    <t>A-25-200</t>
  </si>
  <si>
    <t>RE-2025-0227</t>
  </si>
  <si>
    <t>A-25-201</t>
  </si>
  <si>
    <t>Uhlig, Cornelia</t>
  </si>
  <si>
    <t>Stauffenbergallee 69</t>
  </si>
  <si>
    <t>A-25-202</t>
  </si>
  <si>
    <t>RE-2025-0217</t>
  </si>
  <si>
    <t>A-25-203</t>
  </si>
  <si>
    <t>RE-2025-0222, RE-2025-0247</t>
  </si>
  <si>
    <t>A-25-204</t>
  </si>
  <si>
    <t>RE-2025-0224</t>
  </si>
  <si>
    <t>A-25-205</t>
  </si>
  <si>
    <t>A-25-206</t>
  </si>
  <si>
    <t>Pohl, Susanne</t>
  </si>
  <si>
    <t>Teplitzer Straße 117</t>
  </si>
  <si>
    <t>RE-2025-0229</t>
  </si>
  <si>
    <t>A-25-207</t>
  </si>
  <si>
    <t>A-25-208</t>
  </si>
  <si>
    <t>RE-2025-0228</t>
  </si>
  <si>
    <t>A-25-209</t>
  </si>
  <si>
    <t>ZA-Praxis Lehmann</t>
  </si>
  <si>
    <t>RE-2025-0234</t>
  </si>
  <si>
    <t>Summe Oktober 2025</t>
  </si>
  <si>
    <t>A-25-210</t>
  </si>
  <si>
    <t>Martin Wagner</t>
  </si>
  <si>
    <t>RE-2025-0230</t>
  </si>
  <si>
    <t>A-25-211</t>
  </si>
  <si>
    <t>Claudia Bauer</t>
  </si>
  <si>
    <t>RE-2025-0231</t>
  </si>
  <si>
    <t>A-25-212</t>
  </si>
  <si>
    <t>289,00 €</t>
  </si>
  <si>
    <t>RE-2025-0232</t>
  </si>
  <si>
    <t>A-25-213</t>
  </si>
  <si>
    <t>Heike Müller</t>
  </si>
  <si>
    <t>Kesselsdorfer Straße 40</t>
  </si>
  <si>
    <t>RE-2025-0233</t>
  </si>
  <si>
    <t>A-25-214</t>
  </si>
  <si>
    <t>RE-2025-0235, RE-2026-0001</t>
  </si>
  <si>
    <t>A-25-215</t>
  </si>
  <si>
    <t>Apotheke am Bischofsplatz</t>
  </si>
  <si>
    <t>Kesselsdorfer Straße 159a</t>
  </si>
  <si>
    <t>RE-2025-0238</t>
  </si>
  <si>
    <t>A-25-216</t>
  </si>
  <si>
    <t>RE-2025-0236</t>
  </si>
  <si>
    <t>A-25-217</t>
  </si>
  <si>
    <t>A-25-218</t>
  </si>
  <si>
    <t>RE-2025-0243</t>
  </si>
  <si>
    <t>A-25-219</t>
  </si>
  <si>
    <t>Hr. Seidel</t>
  </si>
  <si>
    <t>Schandauer Straße 98</t>
  </si>
  <si>
    <t>516,00 €</t>
  </si>
  <si>
    <t>RE-2025-0239</t>
  </si>
  <si>
    <t>A-25-220</t>
  </si>
  <si>
    <t>A-25-221</t>
  </si>
  <si>
    <t>A-25-222</t>
  </si>
  <si>
    <t>Kretschmar, Kerstin</t>
  </si>
  <si>
    <t>Lockwitzer Straße 106b</t>
  </si>
  <si>
    <t>A-25-223</t>
  </si>
  <si>
    <t>Anett Neumann</t>
  </si>
  <si>
    <t>A-25-224</t>
  </si>
  <si>
    <t>RE-2025-0244</t>
  </si>
  <si>
    <t>A-25-225</t>
  </si>
  <si>
    <t>RE-2025-0253</t>
  </si>
  <si>
    <t>A-25-226</t>
  </si>
  <si>
    <t>Fr. Böhme</t>
  </si>
  <si>
    <t>Pillnitzer Landstraße 153</t>
  </si>
  <si>
    <t>RE-2025-0248</t>
  </si>
  <si>
    <t>A-25-227</t>
  </si>
  <si>
    <t>800,00 €</t>
  </si>
  <si>
    <t>RE-2025-0245</t>
  </si>
  <si>
    <t>A-25-228</t>
  </si>
  <si>
    <t>Reisewitzer Straße 18</t>
  </si>
  <si>
    <t>ca. 1560</t>
  </si>
  <si>
    <t>RE-2025-0252</t>
  </si>
  <si>
    <t>A-25-229</t>
  </si>
  <si>
    <t>Physiotherapie am Alaunpark</t>
  </si>
  <si>
    <t>Leipziger Straße 158b</t>
  </si>
  <si>
    <t>Richter</t>
  </si>
  <si>
    <t>RE-2025-0249</t>
  </si>
  <si>
    <t>A-25-230</t>
  </si>
  <si>
    <t>RE-2025-0246</t>
  </si>
  <si>
    <t>A-25-231</t>
  </si>
  <si>
    <t>Summe November 2025</t>
  </si>
  <si>
    <t>A-25-232</t>
  </si>
  <si>
    <t>Klaus Hofmann</t>
  </si>
  <si>
    <t>A-25-233</t>
  </si>
  <si>
    <t>RE-2025-0250</t>
  </si>
  <si>
    <t>A-25-234</t>
  </si>
  <si>
    <t>A-25-235</t>
  </si>
  <si>
    <t>Fr. Braun</t>
  </si>
  <si>
    <t>ca. 15960</t>
  </si>
  <si>
    <t>A-25-236</t>
  </si>
  <si>
    <t>A-25-237</t>
  </si>
  <si>
    <t>RE-2025-0255</t>
  </si>
  <si>
    <t>A-25-238</t>
  </si>
  <si>
    <t>Haase, Franziska</t>
  </si>
  <si>
    <t>Stauffenbergallee 27b</t>
  </si>
  <si>
    <t>RE-2025-0266</t>
  </si>
  <si>
    <t>A-25-239</t>
  </si>
  <si>
    <t>Gerd Berger</t>
  </si>
  <si>
    <t>RE-2025-0259</t>
  </si>
  <si>
    <t>A-25-240</t>
  </si>
  <si>
    <t>A-25-241</t>
  </si>
  <si>
    <t>A-25-242</t>
  </si>
  <si>
    <t>Kita Sonnenblume</t>
  </si>
  <si>
    <t>Stauffenbergallee 22b</t>
  </si>
  <si>
    <t>RE-2025-0261, RE-2026-0040</t>
  </si>
  <si>
    <t>A-25-243</t>
  </si>
  <si>
    <t>Immobilienverwaltung Weißer Hirsch</t>
  </si>
  <si>
    <t>RE-2025-0269</t>
  </si>
  <si>
    <t>A-25-244</t>
  </si>
  <si>
    <t>Göbel, Sandra</t>
  </si>
  <si>
    <t>Bahnhofstraße 33</t>
  </si>
  <si>
    <t>RE-2025-0264, RE-2026-0014</t>
  </si>
  <si>
    <t>A-25-245</t>
  </si>
  <si>
    <t>RE-2025-0262</t>
  </si>
  <si>
    <t>A-25-246</t>
  </si>
  <si>
    <t>Uwe Vogel</t>
  </si>
  <si>
    <t>Wehlener Straße 139</t>
  </si>
  <si>
    <t>A-25-247</t>
  </si>
  <si>
    <t>RE-2026-0002</t>
  </si>
  <si>
    <t>A-25-248</t>
  </si>
  <si>
    <t>RE-2025-0271</t>
  </si>
  <si>
    <t>Summe Dezember 2025</t>
  </si>
  <si>
    <t>Auftragsbuch 2026 – Brenner Haustechnik</t>
  </si>
  <si>
    <t>A-26-001</t>
  </si>
  <si>
    <t>A-26-002</t>
  </si>
  <si>
    <t>05.01.2026</t>
  </si>
  <si>
    <t>RE-2026-0003</t>
  </si>
  <si>
    <t>A-26-003</t>
  </si>
  <si>
    <t>A-26-004</t>
  </si>
  <si>
    <t>Seniorenresidenz Am Großen Garten gGmbH</t>
  </si>
  <si>
    <t>Tolkewitzer Straße 125a</t>
  </si>
  <si>
    <t>RE-2026-0012</t>
  </si>
  <si>
    <t>A-26-005</t>
  </si>
  <si>
    <t>A-26-006</t>
  </si>
  <si>
    <t>15.178,00 €</t>
  </si>
  <si>
    <t>A-26-007</t>
  </si>
  <si>
    <t>RE-2026-0009, RE-2026-0067</t>
  </si>
  <si>
    <t>A-26-008</t>
  </si>
  <si>
    <t>Engel, Grit</t>
  </si>
  <si>
    <t>Hechtstraße 35</t>
  </si>
  <si>
    <t>RE-2026-0022</t>
  </si>
  <si>
    <t>A-26-009</t>
  </si>
  <si>
    <t>12/01/26</t>
  </si>
  <si>
    <t>Fr. Petzold</t>
  </si>
  <si>
    <t>nach Aufwand</t>
  </si>
  <si>
    <t>RE-2026-0024</t>
  </si>
  <si>
    <t>A-26-010</t>
  </si>
  <si>
    <t>RE-2026-0013</t>
  </si>
  <si>
    <t>A-26-011</t>
  </si>
  <si>
    <t>Nadine Neumann</t>
  </si>
  <si>
    <t>Hechtstraße 176b</t>
  </si>
  <si>
    <t>RE-2026-0010, RE-2026-0049</t>
  </si>
  <si>
    <t>A-26-012</t>
  </si>
  <si>
    <t>Tierarztpraxis Dr. Fiedler</t>
  </si>
  <si>
    <t>Pirnaer Landstraße 48</t>
  </si>
  <si>
    <t>RE-2026-0023</t>
  </si>
  <si>
    <t>A-26-013</t>
  </si>
  <si>
    <t>13.01.2026</t>
  </si>
  <si>
    <t>KW 3</t>
  </si>
  <si>
    <t>RE-2026-0016</t>
  </si>
  <si>
    <t>A-26-014</t>
  </si>
  <si>
    <t>A-26-015</t>
  </si>
  <si>
    <t>Malerbetrieb Thiele</t>
  </si>
  <si>
    <t>RE-2026-0011</t>
  </si>
  <si>
    <t>A-26-016</t>
  </si>
  <si>
    <t>RE-2026-0026</t>
  </si>
  <si>
    <t>A-26-017</t>
  </si>
  <si>
    <t>RE-2026-0019</t>
  </si>
  <si>
    <t>A-26-018</t>
  </si>
  <si>
    <t>19.01.2026</t>
  </si>
  <si>
    <t>RE-2026-0015</t>
  </si>
  <si>
    <t>A-26-019</t>
  </si>
  <si>
    <t>Chemnitzer Straße 85</t>
  </si>
  <si>
    <t>pauschal 149,-</t>
  </si>
  <si>
    <t>RE-2026-0025</t>
  </si>
  <si>
    <t>A-26-020</t>
  </si>
  <si>
    <t>RE-2026-0031</t>
  </si>
  <si>
    <t>A-26-021</t>
  </si>
  <si>
    <t>Seidel, Uwe</t>
  </si>
  <si>
    <t>RE-2026-0020</t>
  </si>
  <si>
    <t>A-26-022</t>
  </si>
  <si>
    <t>20/01/26</t>
  </si>
  <si>
    <t>A-26-023</t>
  </si>
  <si>
    <t>21.01.2026</t>
  </si>
  <si>
    <t>RE-2026-0038</t>
  </si>
  <si>
    <t>A-26-024</t>
  </si>
  <si>
    <t>Café Neustadt UG</t>
  </si>
  <si>
    <t>Cossebauder Straße 153b</t>
  </si>
  <si>
    <t>RE-2026-0027</t>
  </si>
  <si>
    <t>A-26-025</t>
  </si>
  <si>
    <t>RE-2026-0033</t>
  </si>
  <si>
    <t>A-26-026</t>
  </si>
  <si>
    <t>Rainer Engel</t>
  </si>
  <si>
    <t>RE-2026-0042</t>
  </si>
  <si>
    <t>A-26-027</t>
  </si>
  <si>
    <t>A-26-028</t>
  </si>
  <si>
    <t>RE-2026-0029</t>
  </si>
  <si>
    <t>A-26-029</t>
  </si>
  <si>
    <t>Uwe Grafe</t>
  </si>
  <si>
    <t>RE-2026-0041</t>
  </si>
  <si>
    <t>A-26-030</t>
  </si>
  <si>
    <t>RE-2026-0035</t>
  </si>
  <si>
    <t>A-26-031</t>
  </si>
  <si>
    <t>A-26-032</t>
  </si>
  <si>
    <t>Hr. Vogel</t>
  </si>
  <si>
    <t>RE-2026-0043, RE-2026-0071</t>
  </si>
  <si>
    <t>A-26-033</t>
  </si>
  <si>
    <t>29/01/26</t>
  </si>
  <si>
    <t>A-26-034</t>
  </si>
  <si>
    <t>29.01.2026</t>
  </si>
  <si>
    <t>Elektro Müller e.K.</t>
  </si>
  <si>
    <t>RE-2026-0039</t>
  </si>
  <si>
    <t>A-26-035</t>
  </si>
  <si>
    <t>30.1.26</t>
  </si>
  <si>
    <t>RE-2026-0032</t>
  </si>
  <si>
    <t>A-26-036</t>
  </si>
  <si>
    <t>A-26-037</t>
  </si>
  <si>
    <t>RE-2026-0045</t>
  </si>
  <si>
    <t>A-26-038</t>
  </si>
  <si>
    <t>Uwe Bauer</t>
  </si>
  <si>
    <t>RE-2026-0037, RE-2026-0088</t>
  </si>
  <si>
    <t>Summe Januar 2026</t>
  </si>
  <si>
    <t>A-26-039</t>
  </si>
  <si>
    <t>02.02.2026</t>
  </si>
  <si>
    <t>Fr. Schwarz</t>
  </si>
  <si>
    <t>A-26-040</t>
  </si>
  <si>
    <t>03/02/26</t>
  </si>
  <si>
    <t>RE-2026-0047</t>
  </si>
  <si>
    <t>A-26-041</t>
  </si>
  <si>
    <t>03.02.2026</t>
  </si>
  <si>
    <t>A-26-042</t>
  </si>
  <si>
    <t>RE-2026-0052</t>
  </si>
  <si>
    <t>A-26-043</t>
  </si>
  <si>
    <t>RE-2026-0054</t>
  </si>
  <si>
    <t>A-26-044</t>
  </si>
  <si>
    <t>Zimmermann, Martin</t>
  </si>
  <si>
    <t>Hechtstraße 151</t>
  </si>
  <si>
    <t>RE-2026-0059</t>
  </si>
  <si>
    <t>A-26-045</t>
  </si>
  <si>
    <t>425,00 €</t>
  </si>
  <si>
    <t>RE-2026-0053</t>
  </si>
  <si>
    <t>A-26-046</t>
  </si>
  <si>
    <t>10.02.2026</t>
  </si>
  <si>
    <t>A-26-047</t>
  </si>
  <si>
    <t>Omsewitzer Ring 2</t>
  </si>
  <si>
    <t>A-26-048</t>
  </si>
  <si>
    <t>12.02.2026</t>
  </si>
  <si>
    <t>Fr. Pohl</t>
  </si>
  <si>
    <t>318,00 €</t>
  </si>
  <si>
    <t>RE-2026-0058</t>
  </si>
  <si>
    <t>A-26-049</t>
  </si>
  <si>
    <t>A-26-050</t>
  </si>
  <si>
    <t>Antje Seidel</t>
  </si>
  <si>
    <t>1.149,00 €</t>
  </si>
  <si>
    <t>A-26-051</t>
  </si>
  <si>
    <t>13.2.26</t>
  </si>
  <si>
    <t>Becker, Ralf</t>
  </si>
  <si>
    <t>RE-2026-0050</t>
  </si>
  <si>
    <t>A-26-052</t>
  </si>
  <si>
    <t>A-26-053</t>
  </si>
  <si>
    <t>RE-2026-0057, RE-2026-0100</t>
  </si>
  <si>
    <t>A-26-054</t>
  </si>
  <si>
    <t>20/02/26</t>
  </si>
  <si>
    <t>RE-2026-0068</t>
  </si>
  <si>
    <t>A-26-055</t>
  </si>
  <si>
    <t>Amalie-Dietrich-Platz 3</t>
  </si>
  <si>
    <t>386,00 €</t>
  </si>
  <si>
    <t>RE-2026-0064</t>
  </si>
  <si>
    <t>A-26-056</t>
  </si>
  <si>
    <t>RE-2026-0066</t>
  </si>
  <si>
    <t>A-26-057</t>
  </si>
  <si>
    <t>Hr. Uhlig</t>
  </si>
  <si>
    <t>104,00 €</t>
  </si>
  <si>
    <t>RE-2026-0062</t>
  </si>
  <si>
    <t>A-26-058</t>
  </si>
  <si>
    <t>24.02.2026</t>
  </si>
  <si>
    <t>Hoffmann, Klaus</t>
  </si>
  <si>
    <t>RE-2026-0073</t>
  </si>
  <si>
    <t>A-26-059</t>
  </si>
  <si>
    <t>Wagner, Martin</t>
  </si>
  <si>
    <t>RE-2026-0061</t>
  </si>
  <si>
    <t>Summe Februar 2026</t>
  </si>
  <si>
    <t>A-26-060</t>
  </si>
  <si>
    <t>02/03/26</t>
  </si>
  <si>
    <t>RE-2026-0074</t>
  </si>
  <si>
    <t>A-26-061</t>
  </si>
  <si>
    <t>Freiberger Straße 77</t>
  </si>
  <si>
    <t>RE-2026-0070</t>
  </si>
  <si>
    <t>A-26-062</t>
  </si>
  <si>
    <t>Schulz, Michael</t>
  </si>
  <si>
    <t>Grundstraße 64</t>
  </si>
  <si>
    <t>RE-2026-0078</t>
  </si>
  <si>
    <t>A-26-063</t>
  </si>
  <si>
    <t>Dagmar Rößler</t>
  </si>
  <si>
    <t>RE-2026-0075, RE-2026-0098</t>
  </si>
  <si>
    <t>A-26-064</t>
  </si>
  <si>
    <t>Müller, Heike</t>
  </si>
  <si>
    <t>Am Hang 3</t>
  </si>
  <si>
    <t>RE-2026-0069</t>
  </si>
  <si>
    <t>A-26-065</t>
  </si>
  <si>
    <t>A-26-066</t>
  </si>
  <si>
    <t>A-26-067</t>
  </si>
  <si>
    <t>10.3.26</t>
  </si>
  <si>
    <t>Baustelle Radebeul, Meißner Str. 210</t>
  </si>
  <si>
    <t>Montage Sanitärobjekte Baustelle Radebeul</t>
  </si>
  <si>
    <t>RE-2026-0087, RE-2026-0091</t>
  </si>
  <si>
    <t>A-26-068</t>
  </si>
  <si>
    <t>RE-2026-0084</t>
  </si>
  <si>
    <t>A-26-069</t>
  </si>
  <si>
    <t>Seniorenresidenz Am Großen Garten</t>
  </si>
  <si>
    <t>A-26-070</t>
  </si>
  <si>
    <t>ca. 15930</t>
  </si>
  <si>
    <t>KW 16</t>
  </si>
  <si>
    <t>RE-2026-0081, RE-2026-0105</t>
  </si>
  <si>
    <t>A-26-071</t>
  </si>
  <si>
    <t>13.3.26</t>
  </si>
  <si>
    <t>A-26-072</t>
  </si>
  <si>
    <t>ca. 450</t>
  </si>
  <si>
    <t>A-26-073</t>
  </si>
  <si>
    <t>Wohnungsbaugenossenschaft Johannstadt</t>
  </si>
  <si>
    <t>RE-2026-0079</t>
  </si>
  <si>
    <t>A-26-074</t>
  </si>
  <si>
    <t>RE-2026-0092</t>
  </si>
  <si>
    <t>A-26-075</t>
  </si>
  <si>
    <t>17.3.26</t>
  </si>
  <si>
    <t>RE-2026-0083, RE-2026-0116</t>
  </si>
  <si>
    <t>A-26-076</t>
  </si>
  <si>
    <t>17/03/26</t>
  </si>
  <si>
    <t>RE-2026-0086</t>
  </si>
  <si>
    <t>A-26-077</t>
  </si>
  <si>
    <t>RE-2026-0085, RE-2026-0123</t>
  </si>
  <si>
    <t>A-26-078</t>
  </si>
  <si>
    <t>RE-2026-0096</t>
  </si>
  <si>
    <t>A-26-079</t>
  </si>
  <si>
    <t>A-26-080</t>
  </si>
  <si>
    <t>Franziska Frank</t>
  </si>
  <si>
    <t>RE-2026-0095</t>
  </si>
  <si>
    <t>A-26-081</t>
  </si>
  <si>
    <t>26/03/26</t>
  </si>
  <si>
    <t>ca. 490</t>
  </si>
  <si>
    <t>RE-2026-0093</t>
  </si>
  <si>
    <t>A-26-082</t>
  </si>
  <si>
    <t>26.03.2026</t>
  </si>
  <si>
    <t>A-26-083</t>
  </si>
  <si>
    <t>RE-2026-0097</t>
  </si>
  <si>
    <t>A-26-084</t>
  </si>
  <si>
    <t>30.03.2026</t>
  </si>
  <si>
    <t>Gerd Schwarz</t>
  </si>
  <si>
    <t>RE-2026-0094</t>
  </si>
  <si>
    <t>Summe März 2026</t>
  </si>
  <si>
    <t>A-26-085</t>
  </si>
  <si>
    <t>7.4.26</t>
  </si>
  <si>
    <t>A-26-086</t>
  </si>
  <si>
    <t>RE-2026-0101</t>
  </si>
  <si>
    <t>A-26-087</t>
  </si>
  <si>
    <t>Vogel, Rainer</t>
  </si>
  <si>
    <t>Dohnaer Straße 1</t>
  </si>
  <si>
    <t>RE-2026-0104</t>
  </si>
  <si>
    <t>A-26-088</t>
  </si>
  <si>
    <t>10.04.2026</t>
  </si>
  <si>
    <t>RE-2026-0110</t>
  </si>
  <si>
    <t>A-26-089</t>
  </si>
  <si>
    <t>WG Elbtal</t>
  </si>
  <si>
    <t>RE-2026-0107</t>
  </si>
  <si>
    <t>A-26-090</t>
  </si>
  <si>
    <t>751,00 €</t>
  </si>
  <si>
    <t>RE-2026-0111</t>
  </si>
  <si>
    <t>A-26-091</t>
  </si>
  <si>
    <t>13/04/26</t>
  </si>
  <si>
    <t>A-26-092</t>
  </si>
  <si>
    <t>Wolf, Hans-Jürgen</t>
  </si>
  <si>
    <t>Bergstraße 180a</t>
  </si>
  <si>
    <t>A-26-093</t>
  </si>
  <si>
    <t>13.04.2026</t>
  </si>
  <si>
    <t>477,00 €</t>
  </si>
  <si>
    <t>RE-2026-0109</t>
  </si>
  <si>
    <t>A-26-094</t>
  </si>
  <si>
    <t>14/04/26</t>
  </si>
  <si>
    <t>A-26-095</t>
  </si>
  <si>
    <t>Manuela Böhme</t>
  </si>
  <si>
    <t>A-26-096</t>
  </si>
  <si>
    <t>RE-2026-0108</t>
  </si>
  <si>
    <t>A-26-097</t>
  </si>
  <si>
    <t>20.04.2026</t>
  </si>
  <si>
    <t>A-26-098</t>
  </si>
  <si>
    <t>RE-2026-0112</t>
  </si>
  <si>
    <t>A-26-099</t>
  </si>
  <si>
    <t>A-26-100</t>
  </si>
  <si>
    <t>21.4.26</t>
  </si>
  <si>
    <t>A-26-101</t>
  </si>
  <si>
    <t>24.04.2026</t>
  </si>
  <si>
    <t>RE-2026-0115</t>
  </si>
  <si>
    <t>A-26-102</t>
  </si>
  <si>
    <t>27.04.2026</t>
  </si>
  <si>
    <t>1.284,00 €</t>
  </si>
  <si>
    <t>RE-2026-0119</t>
  </si>
  <si>
    <t>Summe April 2026</t>
  </si>
  <si>
    <t>A-26-103</t>
  </si>
  <si>
    <t>RE-2026-0120</t>
  </si>
  <si>
    <t>A-26-104</t>
  </si>
  <si>
    <t>RE-2026-0117</t>
  </si>
  <si>
    <t>A-26-105</t>
  </si>
  <si>
    <t>04.05.2026</t>
  </si>
  <si>
    <t>A-26-106</t>
  </si>
  <si>
    <t>RE-2026-0124</t>
  </si>
  <si>
    <t>A-26-107</t>
  </si>
  <si>
    <t>08.05.2026</t>
  </si>
  <si>
    <t>Hansastraße 23</t>
  </si>
  <si>
    <t>RE-2026-0125</t>
  </si>
  <si>
    <t>A-26-108</t>
  </si>
  <si>
    <t>11.05.2026</t>
  </si>
  <si>
    <t>RE-2026-0122</t>
  </si>
  <si>
    <t>A-26-109</t>
  </si>
  <si>
    <t>RE-2026-0126</t>
  </si>
  <si>
    <t>A-26-110</t>
  </si>
  <si>
    <t>A-26-111</t>
  </si>
  <si>
    <t>ca. 790</t>
  </si>
  <si>
    <t>RE-2026-0139</t>
  </si>
  <si>
    <t>A-26-112</t>
  </si>
  <si>
    <t>12.05.2026</t>
  </si>
  <si>
    <t>RE-2026-0129</t>
  </si>
  <si>
    <t>A-26-113</t>
  </si>
  <si>
    <t>RE-2026-0128, RE-2026-0169</t>
  </si>
  <si>
    <t>A-26-114</t>
  </si>
  <si>
    <t>RE-2026-0135</t>
  </si>
  <si>
    <t>A-26-115</t>
  </si>
  <si>
    <t>Kindergarten Elbspatzen</t>
  </si>
  <si>
    <t>305,00 €</t>
  </si>
  <si>
    <t>RE-2026-0133</t>
  </si>
  <si>
    <t>A-26-116</t>
  </si>
  <si>
    <t>Fiedler, Simone</t>
  </si>
  <si>
    <t>Hamburger Straße 127</t>
  </si>
  <si>
    <t>RE-2026-0143</t>
  </si>
  <si>
    <t>A-26-117</t>
  </si>
  <si>
    <t>A-26-118</t>
  </si>
  <si>
    <t>18/05/26</t>
  </si>
  <si>
    <t>Hostel Neustadt</t>
  </si>
  <si>
    <t>RE-2026-0134</t>
  </si>
  <si>
    <t>A-26-119</t>
  </si>
  <si>
    <t>A-26-120</t>
  </si>
  <si>
    <t>19/05/26</t>
  </si>
  <si>
    <t>RE-2026-0131</t>
  </si>
  <si>
    <t>A-26-121</t>
  </si>
  <si>
    <t>20.05.2026</t>
  </si>
  <si>
    <t>RE-2026-0130</t>
  </si>
  <si>
    <t>A-26-122</t>
  </si>
  <si>
    <t>ca. 850</t>
  </si>
  <si>
    <t>RE-2026-0144</t>
  </si>
  <si>
    <t>A-26-123</t>
  </si>
  <si>
    <t>RE-2026-0138</t>
  </si>
  <si>
    <t>A-26-124</t>
  </si>
  <si>
    <t>26.05.2026</t>
  </si>
  <si>
    <t>A-26-125</t>
  </si>
  <si>
    <t>Thiele, Lars</t>
  </si>
  <si>
    <t>Tolkewitzer Straße 175b</t>
  </si>
  <si>
    <t>A-26-126</t>
  </si>
  <si>
    <t>Uhlig, Matthias</t>
  </si>
  <si>
    <t>Kesselsdorfer Straße 37</t>
  </si>
  <si>
    <t>ca. 170</t>
  </si>
  <si>
    <t>RE-2026-0142</t>
  </si>
  <si>
    <t>A-26-127</t>
  </si>
  <si>
    <t>A-26-128</t>
  </si>
  <si>
    <t>Fr. Heinrich</t>
  </si>
  <si>
    <t>RE-2026-0141</t>
  </si>
  <si>
    <t>Summe Mai 2026</t>
  </si>
  <si>
    <t>A-26-129</t>
  </si>
  <si>
    <t>RE-2026-0156</t>
  </si>
  <si>
    <t>A-26-130</t>
  </si>
  <si>
    <t>RE-2026-0145</t>
  </si>
  <si>
    <t>A-26-131</t>
  </si>
  <si>
    <t>RE-2026-0146</t>
  </si>
  <si>
    <t>A-26-132</t>
  </si>
  <si>
    <t>01/06/26</t>
  </si>
  <si>
    <t>A-26-133</t>
  </si>
  <si>
    <t>02/06/26</t>
  </si>
  <si>
    <t>A-26-134</t>
  </si>
  <si>
    <t>02.06.2026</t>
  </si>
  <si>
    <t>RE-2026-0153</t>
  </si>
  <si>
    <t>A-26-135</t>
  </si>
  <si>
    <t>A-26-136</t>
  </si>
  <si>
    <t>5.6.26</t>
  </si>
  <si>
    <t>A-26-137</t>
  </si>
  <si>
    <t>pauschal 159,-</t>
  </si>
  <si>
    <t>RE-2026-0147</t>
  </si>
  <si>
    <t>A-26-138</t>
  </si>
  <si>
    <t>08.06.2026</t>
  </si>
  <si>
    <t>Schröder, Sandra</t>
  </si>
  <si>
    <t>Tolkewitzer Straße 117a</t>
  </si>
  <si>
    <t>ca. 1450</t>
  </si>
  <si>
    <t>RE-2026-0151</t>
  </si>
  <si>
    <t>A-26-139</t>
  </si>
  <si>
    <t>08/06/26</t>
  </si>
  <si>
    <t>RE-2026-0152</t>
  </si>
  <si>
    <t>A-26-140</t>
  </si>
  <si>
    <t>Hr. Zimmermann</t>
  </si>
  <si>
    <t>Stauffenbergallee 5</t>
  </si>
  <si>
    <t>A-26-141</t>
  </si>
  <si>
    <t>A-26-142</t>
  </si>
  <si>
    <t>RE-2026-0154</t>
  </si>
  <si>
    <t>A-26-143</t>
  </si>
  <si>
    <t>RE-2026-0159</t>
  </si>
  <si>
    <t>A-26-144</t>
  </si>
  <si>
    <t>1.119,00 €</t>
  </si>
  <si>
    <t>RE-2026-0155</t>
  </si>
  <si>
    <t>A-26-145</t>
  </si>
  <si>
    <t>A-26-146</t>
  </si>
  <si>
    <t>RE-2026-0157</t>
  </si>
  <si>
    <t>A-26-147</t>
  </si>
  <si>
    <t>A-26-148</t>
  </si>
  <si>
    <t>A-26-149</t>
  </si>
  <si>
    <t>Fr. Haase</t>
  </si>
  <si>
    <t>RE-2026-0164</t>
  </si>
  <si>
    <t>A-26-150</t>
  </si>
  <si>
    <t>283,00 €</t>
  </si>
  <si>
    <t>RE-2026-0158</t>
  </si>
  <si>
    <t>A-26-151</t>
  </si>
  <si>
    <t>22.6.26</t>
  </si>
  <si>
    <t>A-26-152</t>
  </si>
  <si>
    <t>Vogel, Mirko</t>
  </si>
  <si>
    <t>RE-2026-0163</t>
  </si>
  <si>
    <t>A-26-153</t>
  </si>
  <si>
    <t>Fleischerei Geißler GmbH</t>
  </si>
  <si>
    <t>Tolkewitzer Straße 174</t>
  </si>
  <si>
    <t>1.130,00 €</t>
  </si>
  <si>
    <t>RE-2026-0166</t>
  </si>
  <si>
    <t>A-26-154</t>
  </si>
  <si>
    <t>23.06.2026</t>
  </si>
  <si>
    <t>A-26-155</t>
  </si>
  <si>
    <t>Neumann, Nadine</t>
  </si>
  <si>
    <t>RE-2026-0171</t>
  </si>
  <si>
    <t>A-26-156</t>
  </si>
  <si>
    <t>RE-2026-0168</t>
  </si>
  <si>
    <t>A-26-157</t>
  </si>
  <si>
    <t>René Ullrich</t>
  </si>
  <si>
    <t>1.034,00 €</t>
  </si>
  <si>
    <t>A-26-158</t>
  </si>
  <si>
    <t>A-26-159</t>
  </si>
  <si>
    <t>RE-2026-0172</t>
  </si>
  <si>
    <t>A-26-160</t>
  </si>
  <si>
    <t>29.6.26</t>
  </si>
  <si>
    <t>A-26-161</t>
  </si>
  <si>
    <t>A-26-162</t>
  </si>
  <si>
    <t>Florian Lange</t>
  </si>
  <si>
    <t>RE-2026-0178</t>
  </si>
  <si>
    <t>Summe Juni 2026</t>
  </si>
  <si>
    <t>A-26-163</t>
  </si>
  <si>
    <t>01.07.2026</t>
  </si>
  <si>
    <t>RE-2026-0175</t>
  </si>
  <si>
    <t>A-26-164</t>
  </si>
  <si>
    <t>RE-2026-0184</t>
  </si>
  <si>
    <t>A-26-165</t>
  </si>
  <si>
    <t>Ute Ebert</t>
  </si>
  <si>
    <t>RE-2026-0174, RE-2026-0204</t>
  </si>
  <si>
    <t>A-26-166</t>
  </si>
  <si>
    <t>03/07/26</t>
  </si>
  <si>
    <t>RE-2026-0177</t>
  </si>
  <si>
    <t>A-26-167</t>
  </si>
  <si>
    <t>06.07.2026</t>
  </si>
  <si>
    <t>A-26-168</t>
  </si>
  <si>
    <t>RE-2026-0179</t>
  </si>
  <si>
    <t>A-26-169</t>
  </si>
  <si>
    <t>07/07/26</t>
  </si>
  <si>
    <t>RE-2026-0176</t>
  </si>
  <si>
    <t>A-26-170</t>
  </si>
  <si>
    <t>09.07.2026</t>
  </si>
  <si>
    <t>RE-2026-0187</t>
  </si>
  <si>
    <t>A-26-171</t>
  </si>
  <si>
    <t>13.07.2026</t>
  </si>
  <si>
    <t>RE-2026-0186</t>
  </si>
  <si>
    <t>A-26-172</t>
  </si>
  <si>
    <t>13/07/26</t>
  </si>
  <si>
    <t>506,00 €</t>
  </si>
  <si>
    <t>A-26-173</t>
  </si>
  <si>
    <t>A-26-174</t>
  </si>
  <si>
    <t>A-26-175</t>
  </si>
  <si>
    <t>15.07.2026</t>
  </si>
  <si>
    <t>Tharandter Straße 78</t>
  </si>
  <si>
    <t>ca. 1140</t>
  </si>
  <si>
    <t>RE-2026-0189</t>
  </si>
  <si>
    <t>A-26-176</t>
  </si>
  <si>
    <t>16.7.26</t>
  </si>
  <si>
    <t>RE-2026-0194</t>
  </si>
  <si>
    <t>A-26-177</t>
  </si>
  <si>
    <t>RE-2026-0188</t>
  </si>
  <si>
    <t>A-26-178</t>
  </si>
  <si>
    <t>RE-2026-0196</t>
  </si>
  <si>
    <t>A-26-179</t>
  </si>
  <si>
    <t>20.7.26</t>
  </si>
  <si>
    <t>Zimmermann, Jan</t>
  </si>
  <si>
    <t>Freiberger Straße 126</t>
  </si>
  <si>
    <t>A-26-180</t>
  </si>
  <si>
    <t>20.07.2026</t>
  </si>
  <si>
    <t>776,00 €</t>
  </si>
  <si>
    <t>RE-2026-0191</t>
  </si>
  <si>
    <t>A-26-181</t>
  </si>
  <si>
    <t>22/07/26</t>
  </si>
  <si>
    <t>A-26-182</t>
  </si>
  <si>
    <t>RE-2026-0192</t>
  </si>
  <si>
    <t>A-26-183</t>
  </si>
  <si>
    <t>22.07.2026</t>
  </si>
  <si>
    <t>RE-2026-0199</t>
  </si>
  <si>
    <t>A-26-184</t>
  </si>
  <si>
    <t>Hr. Thiele</t>
  </si>
  <si>
    <t>RE-2026-0198, RE-2026-0212</t>
  </si>
  <si>
    <t>A-26-185</t>
  </si>
  <si>
    <t>Freiberger Straße 112</t>
  </si>
  <si>
    <t>RE-2026-0195</t>
  </si>
  <si>
    <t>A-26-186</t>
  </si>
  <si>
    <t>28/07/26</t>
  </si>
  <si>
    <t>Fr. Ullrich</t>
  </si>
  <si>
    <t>RE-2026-0206</t>
  </si>
  <si>
    <t>A-26-187</t>
  </si>
  <si>
    <t>RE-2026-0201</t>
  </si>
  <si>
    <t>A-26-188</t>
  </si>
  <si>
    <t>29.7.26</t>
  </si>
  <si>
    <t>RE-2026-0193</t>
  </si>
  <si>
    <t>A-26-189</t>
  </si>
  <si>
    <t>Hr. Horn</t>
  </si>
  <si>
    <t>RE-2026-0202</t>
  </si>
  <si>
    <t>A-26-190</t>
  </si>
  <si>
    <t>30.07.2026</t>
  </si>
  <si>
    <t>RE-2026-0200</t>
  </si>
  <si>
    <t>A-26-191</t>
  </si>
  <si>
    <t>RE-2026-0205</t>
  </si>
  <si>
    <t>A-26-192</t>
  </si>
  <si>
    <t>A-26-193</t>
  </si>
  <si>
    <t>31/07/26</t>
  </si>
  <si>
    <t>Summe Juli 2026</t>
  </si>
  <si>
    <t>A-26-194</t>
  </si>
  <si>
    <t>in Arbeit</t>
  </si>
  <si>
    <t>A-26-195</t>
  </si>
  <si>
    <t>04.08.2026</t>
  </si>
  <si>
    <t>A-26-196</t>
  </si>
  <si>
    <t>ca. 600</t>
  </si>
  <si>
    <t>A-26-197</t>
  </si>
  <si>
    <t>KW 33</t>
  </si>
  <si>
    <t>A-26-198</t>
  </si>
  <si>
    <t>RE-2026-0208</t>
  </si>
  <si>
    <t>A-26-199</t>
  </si>
  <si>
    <t>10.08.2026</t>
  </si>
  <si>
    <t>A-26-200</t>
  </si>
  <si>
    <t>Austausch Warmwasserspeicher Lager</t>
  </si>
  <si>
    <t>ca. 940</t>
  </si>
  <si>
    <t>RE-2026-0210</t>
  </si>
  <si>
    <t>A-26-201</t>
  </si>
  <si>
    <t>RE-2026-0209</t>
  </si>
  <si>
    <t>A-26-202</t>
  </si>
  <si>
    <t>A-26-203</t>
  </si>
  <si>
    <t>Yvonne Horn</t>
  </si>
  <si>
    <t>RE-2026-0213</t>
  </si>
  <si>
    <t>A-26-204</t>
  </si>
  <si>
    <t>15.790,00 €</t>
  </si>
  <si>
    <t>A-26-205</t>
  </si>
  <si>
    <t>RE-2026-0211</t>
  </si>
  <si>
    <t>A-26-206</t>
  </si>
  <si>
    <t>27.8.26</t>
  </si>
  <si>
    <t>RE-2026-0214</t>
  </si>
  <si>
    <t>A-26-207</t>
  </si>
  <si>
    <t>28.08.2026</t>
  </si>
  <si>
    <t>159,00 €</t>
  </si>
  <si>
    <t>A-26-208</t>
  </si>
  <si>
    <t>A-26-209</t>
  </si>
  <si>
    <t>ca. 20900</t>
  </si>
  <si>
    <t>A-26-210</t>
  </si>
  <si>
    <t>RE-2026-0215</t>
  </si>
  <si>
    <t>A-26-211</t>
  </si>
  <si>
    <t>Böhme, Manuela</t>
  </si>
  <si>
    <t>21.091,00 €</t>
  </si>
  <si>
    <t>Summe August 2026</t>
  </si>
  <si>
    <t>A-26-212</t>
  </si>
  <si>
    <t>RE-2026-0217</t>
  </si>
  <si>
    <t>A-26-213</t>
  </si>
  <si>
    <t>04.09.2026</t>
  </si>
  <si>
    <t>KW 37</t>
  </si>
  <si>
    <t>RE-2026-0218</t>
  </si>
  <si>
    <t>A-26-214</t>
  </si>
  <si>
    <t>A-26-215</t>
  </si>
  <si>
    <t>ca. 250</t>
  </si>
  <si>
    <t>RE-2026-0224</t>
  </si>
  <si>
    <t>A-26-216</t>
  </si>
  <si>
    <t>04/09/26</t>
  </si>
  <si>
    <t>277,00 €</t>
  </si>
  <si>
    <t>RE-2026-0216</t>
  </si>
  <si>
    <t>A-26-217</t>
  </si>
  <si>
    <t>Susanne Fischer</t>
  </si>
  <si>
    <t>Borsbergstraße 100</t>
  </si>
  <si>
    <t>A-26-218</t>
  </si>
  <si>
    <t>A-26-219</t>
  </si>
  <si>
    <t>07/09/26</t>
  </si>
  <si>
    <t>Hr. Lorenz</t>
  </si>
  <si>
    <t>RE-2026-0220</t>
  </si>
  <si>
    <t>A-26-220</t>
  </si>
  <si>
    <t>A-26-221</t>
  </si>
  <si>
    <t>RE-2026-0222</t>
  </si>
  <si>
    <t>A-26-222</t>
  </si>
  <si>
    <t>A-26-223</t>
  </si>
  <si>
    <t>754,00 €</t>
  </si>
  <si>
    <t>A-26-224</t>
  </si>
  <si>
    <t>08/09/26</t>
  </si>
  <si>
    <t>Reparatur Waschtischarmatur Bad OG</t>
  </si>
  <si>
    <t>RE-2026-0219</t>
  </si>
  <si>
    <t>A-26-225</t>
  </si>
  <si>
    <t>Lorenz, Marion</t>
  </si>
  <si>
    <t>Görlitzer Straße 114a</t>
  </si>
  <si>
    <t>ca. 770</t>
  </si>
  <si>
    <t>RE-2026-0226</t>
  </si>
  <si>
    <t>A-26-226</t>
  </si>
  <si>
    <t>11.9.26</t>
  </si>
  <si>
    <t>A-26-227</t>
  </si>
  <si>
    <t>14/09/26</t>
  </si>
  <si>
    <t>1.298,00 €</t>
  </si>
  <si>
    <t>A-26-228</t>
  </si>
  <si>
    <t>RE-2026-0223</t>
  </si>
  <si>
    <t>A-26-229</t>
  </si>
  <si>
    <t>RE-2026-0221</t>
  </si>
  <si>
    <t>A-26-230</t>
  </si>
  <si>
    <t>14.09.2026</t>
  </si>
  <si>
    <t>A-26-231</t>
  </si>
  <si>
    <t>A-26-232</t>
  </si>
  <si>
    <t>15.09.2026</t>
  </si>
  <si>
    <t>A-26-233</t>
  </si>
  <si>
    <t>A-26-234</t>
  </si>
  <si>
    <t>A-26-235</t>
  </si>
  <si>
    <t>A-26-236</t>
  </si>
  <si>
    <t>17/09/26</t>
  </si>
  <si>
    <t>RE-2026-0229</t>
  </si>
  <si>
    <t>A-26-237</t>
  </si>
  <si>
    <t>18/09/26</t>
  </si>
  <si>
    <t>A-26-238</t>
  </si>
  <si>
    <t>A-26-239</t>
  </si>
  <si>
    <t>21/09/26</t>
  </si>
  <si>
    <t>RE-2026-0228</t>
  </si>
  <si>
    <t>A-26-240</t>
  </si>
  <si>
    <t>RE-2026-0231</t>
  </si>
  <si>
    <t>A-26-241</t>
  </si>
  <si>
    <t>A-26-242</t>
  </si>
  <si>
    <t>21.09.2026</t>
  </si>
  <si>
    <t>A-26-243</t>
  </si>
  <si>
    <t>A-26-244</t>
  </si>
  <si>
    <t>309,00 €</t>
  </si>
  <si>
    <t>A-26-245</t>
  </si>
  <si>
    <t>A-26-246</t>
  </si>
  <si>
    <t>A-26-247</t>
  </si>
  <si>
    <t>pauschal 189,-</t>
  </si>
  <si>
    <t>RE-2026-0227</t>
  </si>
  <si>
    <t>A-26-248</t>
  </si>
  <si>
    <t>A-26-249</t>
  </si>
  <si>
    <t>526,00 €</t>
  </si>
  <si>
    <t>A-26-250</t>
  </si>
  <si>
    <t>28/09/26</t>
  </si>
  <si>
    <t>A-26-251</t>
  </si>
  <si>
    <t>28.9.26</t>
  </si>
  <si>
    <t>RE-2026-0232</t>
  </si>
  <si>
    <t>A-26-252</t>
  </si>
  <si>
    <t>Dr. Andreas Krüger</t>
  </si>
  <si>
    <t>Badsanierung lt. Angebot AN-26-044</t>
  </si>
  <si>
    <t>geplant</t>
  </si>
  <si>
    <t>A-26-253</t>
  </si>
  <si>
    <t>A-26-254</t>
  </si>
  <si>
    <t>30/09/26</t>
  </si>
  <si>
    <t>A-26-255</t>
  </si>
  <si>
    <t>30.09.2026</t>
  </si>
  <si>
    <t>ca. 300</t>
  </si>
  <si>
    <t>Summe September 2026</t>
  </si>
  <si>
    <t>A-26-256</t>
  </si>
  <si>
    <t>1.10.26</t>
  </si>
  <si>
    <t>A-26-257</t>
  </si>
  <si>
    <t>01.10.2026</t>
  </si>
  <si>
    <t>A-26-258</t>
  </si>
  <si>
    <t>offen</t>
  </si>
  <si>
    <t>149,00 €</t>
  </si>
  <si>
    <t>A-26-259</t>
  </si>
  <si>
    <t>Wartung Heizungsanlagen lt. WV-2024-012 (Mail 01.10.)</t>
  </si>
  <si>
    <t>417,00 €</t>
  </si>
  <si>
    <t>A-26-260</t>
  </si>
  <si>
    <t>06.10.2026</t>
  </si>
  <si>
    <t>A-26-261</t>
  </si>
  <si>
    <t>08/10/26</t>
  </si>
  <si>
    <t>Gabriele Ludwig</t>
  </si>
  <si>
    <t>A-26-262</t>
  </si>
  <si>
    <t>Martin Zimmermann</t>
  </si>
  <si>
    <t>A-26-263</t>
  </si>
  <si>
    <t>A-26-264</t>
  </si>
  <si>
    <t>12.10.2026</t>
  </si>
  <si>
    <t>A-26-265</t>
  </si>
  <si>
    <t>Schmidt, Petra</t>
  </si>
  <si>
    <t>Hüblerstraße 14</t>
  </si>
  <si>
    <t>Besichtigung Badumbau, Angebot erstellen</t>
  </si>
  <si>
    <t>TB</t>
  </si>
  <si>
    <t>auf Anfrage</t>
  </si>
  <si>
    <t>A-26-266</t>
  </si>
  <si>
    <t>Summe Oktober 2026</t>
  </si>
  <si>
    <t>Aufträge 2026 je Monteur und Monat</t>
  </si>
  <si>
    <t>Jan</t>
  </si>
  <si>
    <t>Feb</t>
  </si>
  <si>
    <t>Mär</t>
  </si>
  <si>
    <t>Apr</t>
  </si>
  <si>
    <t>Mai</t>
  </si>
  <si>
    <t>Jun</t>
  </si>
  <si>
    <t>Jul</t>
  </si>
  <si>
    <t>Aug</t>
  </si>
  <si>
    <t>Sep</t>
  </si>
  <si>
    <t>Okt</t>
  </si>
  <si>
    <t>Gesamt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</si>
</sst>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,##0.00 &quot;€&quot;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0" borderId="2" xfId="0" applyFont="1" applyBorder="1"/>
    <xf numFmtId="165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sheetData>
    <row r="1" spans="1:12">
      <c r="A1" s="1" t="s">
        <v>0</v>
      </c>
    </row>
    <row r="2" spans="1:12">
      <c r="A2" t="s">
        <v>1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t="s">
        <v>14</v>
      </c>
      <c r="B4" s="3">
        <v>45660</v>
      </c>
      <c r="C4">
        <v>10097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s="3">
        <v>45666</v>
      </c>
      <c r="L4" t="s">
        <v>22</v>
      </c>
    </row>
    <row r="5" spans="1:12">
      <c r="A5" t="s">
        <v>23</v>
      </c>
      <c r="B5" s="3">
        <v>45660</v>
      </c>
      <c r="C5">
        <v>10126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20</v>
      </c>
      <c r="J5" s="4">
        <v>394</v>
      </c>
      <c r="K5" s="3">
        <v>45663</v>
      </c>
    </row>
    <row r="6" spans="1:12">
      <c r="A6" t="s">
        <v>29</v>
      </c>
      <c r="B6" s="3">
        <v>45663</v>
      </c>
      <c r="C6">
        <v>10027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20</v>
      </c>
      <c r="J6" s="4">
        <v>468</v>
      </c>
      <c r="K6" s="3">
        <v>45666</v>
      </c>
      <c r="L6" t="s">
        <v>35</v>
      </c>
    </row>
    <row r="7" spans="1:12">
      <c r="A7" t="s">
        <v>36</v>
      </c>
      <c r="B7" s="3">
        <v>45663</v>
      </c>
      <c r="C7">
        <v>10050</v>
      </c>
      <c r="D7" t="s">
        <v>37</v>
      </c>
      <c r="E7" t="s">
        <v>38</v>
      </c>
      <c r="F7" t="s">
        <v>26</v>
      </c>
      <c r="G7" t="s">
        <v>39</v>
      </c>
      <c r="H7" t="s">
        <v>40</v>
      </c>
      <c r="I7" t="s">
        <v>20</v>
      </c>
      <c r="J7" t="s">
        <v>41</v>
      </c>
      <c r="K7" s="3">
        <v>45664</v>
      </c>
      <c r="L7" t="s">
        <v>42</v>
      </c>
    </row>
    <row r="8" spans="1:12">
      <c r="A8" t="s">
        <v>43</v>
      </c>
      <c r="B8" s="3">
        <v>45663</v>
      </c>
      <c r="C8">
        <v>10107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20</v>
      </c>
      <c r="J8" s="4">
        <v>19342</v>
      </c>
      <c r="K8" s="3">
        <v>45686</v>
      </c>
      <c r="L8" t="s">
        <v>49</v>
      </c>
    </row>
    <row r="9" spans="1:12">
      <c r="A9" t="s">
        <v>50</v>
      </c>
      <c r="B9" s="3">
        <v>45665</v>
      </c>
      <c r="D9" t="s">
        <v>24</v>
      </c>
      <c r="E9" t="s">
        <v>25</v>
      </c>
      <c r="F9" t="s">
        <v>51</v>
      </c>
      <c r="G9" t="s">
        <v>52</v>
      </c>
      <c r="H9" t="s">
        <v>53</v>
      </c>
      <c r="I9" t="s">
        <v>20</v>
      </c>
      <c r="J9" s="4">
        <v>11147</v>
      </c>
      <c r="K9" s="3">
        <v>45685</v>
      </c>
    </row>
    <row r="10" spans="1:12">
      <c r="A10" t="s">
        <v>54</v>
      </c>
      <c r="B10" s="3">
        <v>45667</v>
      </c>
      <c r="D10" t="s">
        <v>55</v>
      </c>
      <c r="E10" t="s">
        <v>56</v>
      </c>
      <c r="F10" t="s">
        <v>51</v>
      </c>
      <c r="G10" t="s">
        <v>52</v>
      </c>
      <c r="H10" t="s">
        <v>19</v>
      </c>
      <c r="I10" t="s">
        <v>20</v>
      </c>
      <c r="J10" s="4">
        <v>13686</v>
      </c>
      <c r="K10" s="3">
        <v>45685</v>
      </c>
      <c r="L10" t="s">
        <v>57</v>
      </c>
    </row>
    <row r="11" spans="1:12">
      <c r="A11" t="s">
        <v>58</v>
      </c>
      <c r="B11" s="3">
        <v>45670</v>
      </c>
      <c r="C11">
        <v>10014</v>
      </c>
      <c r="D11" t="s">
        <v>59</v>
      </c>
      <c r="E11" t="s">
        <v>60</v>
      </c>
      <c r="F11" t="s">
        <v>61</v>
      </c>
      <c r="G11" t="s">
        <v>62</v>
      </c>
      <c r="H11" t="s">
        <v>40</v>
      </c>
      <c r="I11" t="s">
        <v>63</v>
      </c>
      <c r="J11" t="s">
        <v>64</v>
      </c>
    </row>
    <row r="12" spans="1:12">
      <c r="A12" t="s">
        <v>65</v>
      </c>
      <c r="B12" s="3">
        <v>45671</v>
      </c>
      <c r="C12">
        <v>10082</v>
      </c>
      <c r="D12" t="s">
        <v>66</v>
      </c>
      <c r="E12" t="s">
        <v>67</v>
      </c>
      <c r="F12" t="s">
        <v>32</v>
      </c>
      <c r="G12" t="s">
        <v>68</v>
      </c>
      <c r="H12" t="s">
        <v>34</v>
      </c>
      <c r="I12" t="s">
        <v>20</v>
      </c>
      <c r="J12" s="4">
        <v>271</v>
      </c>
      <c r="K12" s="3">
        <v>45672</v>
      </c>
      <c r="L12" t="s">
        <v>69</v>
      </c>
    </row>
    <row r="13" spans="1:12">
      <c r="A13" t="s">
        <v>70</v>
      </c>
      <c r="B13" s="3">
        <v>45672</v>
      </c>
      <c r="C13">
        <v>10057</v>
      </c>
      <c r="D13" t="s">
        <v>71</v>
      </c>
      <c r="E13" t="s">
        <v>72</v>
      </c>
      <c r="F13" t="s">
        <v>51</v>
      </c>
      <c r="G13" t="s">
        <v>73</v>
      </c>
      <c r="H13" t="s">
        <v>19</v>
      </c>
      <c r="I13" t="s">
        <v>74</v>
      </c>
      <c r="J13" s="4">
        <v>16011</v>
      </c>
      <c r="K13" s="3">
        <v>45701</v>
      </c>
    </row>
    <row r="14" spans="1:12">
      <c r="A14" t="s">
        <v>75</v>
      </c>
      <c r="B14" s="3">
        <v>45677</v>
      </c>
      <c r="C14">
        <v>10013</v>
      </c>
      <c r="D14" t="s">
        <v>76</v>
      </c>
      <c r="E14" t="s">
        <v>77</v>
      </c>
      <c r="F14" t="s">
        <v>17</v>
      </c>
      <c r="G14" t="s">
        <v>78</v>
      </c>
      <c r="H14" t="s">
        <v>28</v>
      </c>
      <c r="I14" t="s">
        <v>20</v>
      </c>
      <c r="J14" s="4">
        <v>139</v>
      </c>
      <c r="K14" t="s">
        <v>79</v>
      </c>
      <c r="L14" t="s">
        <v>80</v>
      </c>
    </row>
    <row r="15" spans="1:12">
      <c r="A15" t="s">
        <v>81</v>
      </c>
      <c r="B15" s="3">
        <v>45678</v>
      </c>
      <c r="C15">
        <v>10070</v>
      </c>
      <c r="D15" t="s">
        <v>82</v>
      </c>
      <c r="E15" t="s">
        <v>83</v>
      </c>
      <c r="F15" t="s">
        <v>61</v>
      </c>
      <c r="G15" t="s">
        <v>84</v>
      </c>
      <c r="H15" t="s">
        <v>19</v>
      </c>
      <c r="I15" t="s">
        <v>20</v>
      </c>
      <c r="J15" t="s">
        <v>85</v>
      </c>
      <c r="K15" s="3">
        <v>45680</v>
      </c>
      <c r="L15" t="s">
        <v>86</v>
      </c>
    </row>
    <row r="16" spans="1:12">
      <c r="A16" t="s">
        <v>87</v>
      </c>
      <c r="B16" s="3">
        <v>45678</v>
      </c>
      <c r="C16">
        <v>10070</v>
      </c>
      <c r="D16" t="s">
        <v>82</v>
      </c>
      <c r="E16" t="s">
        <v>83</v>
      </c>
      <c r="F16" t="s">
        <v>17</v>
      </c>
      <c r="G16" t="s">
        <v>88</v>
      </c>
      <c r="H16" t="s">
        <v>19</v>
      </c>
      <c r="I16" t="s">
        <v>20</v>
      </c>
      <c r="J16" s="4">
        <v>189</v>
      </c>
      <c r="K16" s="3">
        <v>45681</v>
      </c>
      <c r="L16" t="s">
        <v>89</v>
      </c>
    </row>
    <row r="17" spans="1:12">
      <c r="A17" t="s">
        <v>90</v>
      </c>
      <c r="B17" s="3">
        <v>45678</v>
      </c>
      <c r="C17">
        <v>10077</v>
      </c>
      <c r="D17" t="s">
        <v>91</v>
      </c>
      <c r="E17" t="s">
        <v>92</v>
      </c>
      <c r="F17" t="s">
        <v>51</v>
      </c>
      <c r="G17" t="s">
        <v>52</v>
      </c>
      <c r="H17" t="s">
        <v>48</v>
      </c>
      <c r="I17" t="s">
        <v>20</v>
      </c>
      <c r="J17" s="4">
        <v>10019</v>
      </c>
      <c r="K17" s="3">
        <v>45727</v>
      </c>
      <c r="L17" t="s">
        <v>93</v>
      </c>
    </row>
    <row r="18" spans="1:12">
      <c r="A18" t="s">
        <v>94</v>
      </c>
      <c r="B18" s="3">
        <v>45680</v>
      </c>
      <c r="C18">
        <v>10050</v>
      </c>
      <c r="D18" t="s">
        <v>95</v>
      </c>
      <c r="E18" t="s">
        <v>38</v>
      </c>
      <c r="F18" t="s">
        <v>32</v>
      </c>
      <c r="G18" t="s">
        <v>68</v>
      </c>
      <c r="H18" t="s">
        <v>34</v>
      </c>
      <c r="I18" t="s">
        <v>63</v>
      </c>
    </row>
    <row r="19" spans="1:12">
      <c r="A19" t="s">
        <v>96</v>
      </c>
      <c r="B19" s="3">
        <v>45680</v>
      </c>
      <c r="C19">
        <v>10114</v>
      </c>
      <c r="D19" t="s">
        <v>97</v>
      </c>
      <c r="E19" t="s">
        <v>98</v>
      </c>
      <c r="F19" t="s">
        <v>17</v>
      </c>
      <c r="G19" t="s">
        <v>18</v>
      </c>
      <c r="H19" t="s">
        <v>28</v>
      </c>
      <c r="I19" t="s">
        <v>20</v>
      </c>
      <c r="J19" s="4">
        <v>139</v>
      </c>
      <c r="K19" s="3">
        <v>45681</v>
      </c>
      <c r="L19" t="s">
        <v>99</v>
      </c>
    </row>
    <row r="20" spans="1:12">
      <c r="A20" t="s">
        <v>100</v>
      </c>
      <c r="B20" s="3">
        <v>45684</v>
      </c>
      <c r="C20">
        <v>10011</v>
      </c>
      <c r="D20" t="s">
        <v>101</v>
      </c>
      <c r="E20" t="s">
        <v>102</v>
      </c>
      <c r="F20" t="s">
        <v>32</v>
      </c>
      <c r="G20" t="s">
        <v>103</v>
      </c>
      <c r="H20" t="s">
        <v>28</v>
      </c>
      <c r="I20" t="s">
        <v>20</v>
      </c>
      <c r="J20" s="4">
        <v>197</v>
      </c>
      <c r="K20" s="3">
        <v>45684</v>
      </c>
      <c r="L20" t="s">
        <v>104</v>
      </c>
    </row>
    <row r="21" spans="1:12">
      <c r="A21" t="s">
        <v>105</v>
      </c>
      <c r="B21" s="3">
        <v>45686</v>
      </c>
      <c r="C21">
        <v>10030</v>
      </c>
      <c r="D21" t="s">
        <v>106</v>
      </c>
      <c r="E21" t="s">
        <v>107</v>
      </c>
      <c r="F21" t="s">
        <v>26</v>
      </c>
      <c r="G21" t="s">
        <v>108</v>
      </c>
      <c r="H21" t="s">
        <v>19</v>
      </c>
      <c r="I21" t="s">
        <v>20</v>
      </c>
      <c r="J21" s="4">
        <v>123</v>
      </c>
      <c r="K21" s="3">
        <v>45686</v>
      </c>
      <c r="L21" t="s">
        <v>109</v>
      </c>
    </row>
    <row r="22" spans="1:12">
      <c r="A22" t="s">
        <v>110</v>
      </c>
      <c r="B22" s="3">
        <v>45687</v>
      </c>
      <c r="C22">
        <v>10050</v>
      </c>
      <c r="D22" t="s">
        <v>37</v>
      </c>
      <c r="E22" t="s">
        <v>111</v>
      </c>
      <c r="F22" t="s">
        <v>17</v>
      </c>
      <c r="G22" t="s">
        <v>88</v>
      </c>
      <c r="H22" t="s">
        <v>34</v>
      </c>
      <c r="I22" t="s">
        <v>20</v>
      </c>
      <c r="J22" s="4">
        <v>149</v>
      </c>
      <c r="K22" s="3">
        <v>45693</v>
      </c>
    </row>
    <row r="23" spans="1:12">
      <c r="A23" t="s">
        <v>112</v>
      </c>
      <c r="B23" s="3">
        <v>45688</v>
      </c>
      <c r="C23">
        <v>10024</v>
      </c>
      <c r="D23" t="s">
        <v>113</v>
      </c>
      <c r="E23" t="s">
        <v>114</v>
      </c>
      <c r="F23" t="s">
        <v>17</v>
      </c>
      <c r="G23" t="s">
        <v>88</v>
      </c>
      <c r="H23" t="s">
        <v>34</v>
      </c>
      <c r="I23" t="s">
        <v>20</v>
      </c>
      <c r="J23" s="4">
        <v>189</v>
      </c>
      <c r="K23" s="3">
        <v>45688</v>
      </c>
      <c r="L23" t="s">
        <v>115</v>
      </c>
    </row>
    <row r="24" spans="1:12">
      <c r="A24" t="s">
        <v>116</v>
      </c>
      <c r="B24" s="3">
        <v>45688</v>
      </c>
      <c r="C24">
        <v>10041</v>
      </c>
      <c r="D24" t="s">
        <v>117</v>
      </c>
      <c r="E24" t="s">
        <v>118</v>
      </c>
      <c r="F24" t="s">
        <v>17</v>
      </c>
      <c r="G24" t="s">
        <v>119</v>
      </c>
      <c r="H24" t="s">
        <v>28</v>
      </c>
      <c r="I24" t="s">
        <v>20</v>
      </c>
      <c r="J24" s="4">
        <v>149</v>
      </c>
      <c r="K24" s="3">
        <v>45694</v>
      </c>
      <c r="L24" t="s">
        <v>120</v>
      </c>
    </row>
    <row r="25" spans="1:12">
      <c r="A25" t="s">
        <v>121</v>
      </c>
      <c r="B25" s="3">
        <v>45688</v>
      </c>
      <c r="C25">
        <v>10100</v>
      </c>
      <c r="D25" t="s">
        <v>122</v>
      </c>
      <c r="E25" t="s">
        <v>123</v>
      </c>
      <c r="F25" t="s">
        <v>61</v>
      </c>
      <c r="G25" t="s">
        <v>124</v>
      </c>
      <c r="H25" t="s">
        <v>40</v>
      </c>
      <c r="I25" t="s">
        <v>20</v>
      </c>
      <c r="J25" t="s">
        <v>125</v>
      </c>
      <c r="K25" s="3">
        <v>45691</v>
      </c>
      <c r="L25" t="s">
        <v>126</v>
      </c>
    </row>
    <row r="26" spans="1:12">
      <c r="D26" s="5" t="s">
        <v>127</v>
      </c>
      <c r="J26" s="6">
        <f>SUBTOTAL(9,J4:J25)</f>
        <v>72612.0</v>
      </c>
    </row>
    <row r="28" spans="1:12">
      <c r="A28" t="s">
        <v>128</v>
      </c>
      <c r="B28" s="3">
        <v>45691</v>
      </c>
      <c r="C28">
        <v>10023</v>
      </c>
      <c r="D28" t="s">
        <v>129</v>
      </c>
      <c r="E28" t="s">
        <v>130</v>
      </c>
      <c r="F28" t="s">
        <v>17</v>
      </c>
      <c r="G28" t="s">
        <v>18</v>
      </c>
      <c r="H28" t="s">
        <v>28</v>
      </c>
      <c r="I28" t="s">
        <v>20</v>
      </c>
      <c r="J28" s="4">
        <v>139</v>
      </c>
      <c r="K28" s="3">
        <v>45693</v>
      </c>
    </row>
    <row r="29" spans="1:12">
      <c r="A29" t="s">
        <v>131</v>
      </c>
      <c r="B29" s="3">
        <v>45691</v>
      </c>
      <c r="C29">
        <v>10069</v>
      </c>
      <c r="D29" t="s">
        <v>132</v>
      </c>
      <c r="E29" t="s">
        <v>133</v>
      </c>
      <c r="F29" t="s">
        <v>61</v>
      </c>
      <c r="G29" t="s">
        <v>124</v>
      </c>
      <c r="H29" t="s">
        <v>28</v>
      </c>
      <c r="I29" t="s">
        <v>20</v>
      </c>
      <c r="J29" s="4">
        <v>1297</v>
      </c>
      <c r="K29" s="3">
        <v>45694</v>
      </c>
      <c r="L29" t="s">
        <v>134</v>
      </c>
    </row>
    <row r="30" spans="1:12">
      <c r="A30" t="s">
        <v>135</v>
      </c>
      <c r="B30" s="3">
        <v>45691</v>
      </c>
      <c r="C30">
        <v>10075</v>
      </c>
      <c r="D30" t="s">
        <v>136</v>
      </c>
      <c r="E30" t="s">
        <v>137</v>
      </c>
      <c r="F30" t="s">
        <v>61</v>
      </c>
      <c r="G30" t="s">
        <v>84</v>
      </c>
      <c r="H30" t="s">
        <v>34</v>
      </c>
      <c r="I30" t="s">
        <v>20</v>
      </c>
      <c r="J30" s="4">
        <v>635</v>
      </c>
      <c r="K30" s="3">
        <v>45692</v>
      </c>
      <c r="L30" t="s">
        <v>138</v>
      </c>
    </row>
    <row r="31" spans="1:12">
      <c r="A31" t="s">
        <v>139</v>
      </c>
      <c r="B31" s="3">
        <v>45691</v>
      </c>
      <c r="C31">
        <v>10109</v>
      </c>
      <c r="D31" t="s">
        <v>140</v>
      </c>
      <c r="E31" t="s">
        <v>141</v>
      </c>
      <c r="F31" t="s">
        <v>51</v>
      </c>
      <c r="G31" t="s">
        <v>73</v>
      </c>
      <c r="H31" t="s">
        <v>48</v>
      </c>
      <c r="I31" t="s">
        <v>20</v>
      </c>
      <c r="J31" s="4">
        <v>13434</v>
      </c>
      <c r="K31" s="3">
        <v>45736</v>
      </c>
      <c r="L31" t="s">
        <v>142</v>
      </c>
    </row>
    <row r="32" spans="1:12">
      <c r="A32" t="s">
        <v>143</v>
      </c>
      <c r="B32" s="3">
        <v>45692</v>
      </c>
      <c r="C32">
        <v>10005</v>
      </c>
      <c r="D32" t="s">
        <v>144</v>
      </c>
      <c r="E32" t="s">
        <v>145</v>
      </c>
      <c r="F32" t="s">
        <v>26</v>
      </c>
      <c r="G32" t="s">
        <v>146</v>
      </c>
      <c r="H32" t="s">
        <v>28</v>
      </c>
      <c r="I32" t="s">
        <v>20</v>
      </c>
      <c r="J32" s="4">
        <v>866</v>
      </c>
      <c r="K32" s="3">
        <v>45693</v>
      </c>
      <c r="L32" t="s">
        <v>147</v>
      </c>
    </row>
    <row r="33" spans="1:12">
      <c r="A33" t="s">
        <v>148</v>
      </c>
      <c r="B33" s="3">
        <v>45692</v>
      </c>
      <c r="C33">
        <v>10085</v>
      </c>
      <c r="D33" t="s">
        <v>149</v>
      </c>
      <c r="E33" t="s">
        <v>150</v>
      </c>
      <c r="F33" t="s">
        <v>51</v>
      </c>
      <c r="G33" t="s">
        <v>151</v>
      </c>
      <c r="H33" t="s">
        <v>19</v>
      </c>
      <c r="I33" t="s">
        <v>20</v>
      </c>
      <c r="J33" s="4">
        <v>15604</v>
      </c>
      <c r="K33" s="3">
        <v>45715</v>
      </c>
      <c r="L33" t="s">
        <v>152</v>
      </c>
    </row>
    <row r="34" spans="1:12">
      <c r="A34" t="s">
        <v>153</v>
      </c>
      <c r="B34" s="3">
        <v>45698</v>
      </c>
      <c r="C34">
        <v>10030</v>
      </c>
      <c r="D34" t="s">
        <v>154</v>
      </c>
      <c r="E34" t="s">
        <v>107</v>
      </c>
      <c r="F34" t="s">
        <v>26</v>
      </c>
      <c r="G34" t="s">
        <v>155</v>
      </c>
      <c r="H34" t="s">
        <v>19</v>
      </c>
      <c r="I34" t="s">
        <v>20</v>
      </c>
      <c r="J34" s="4">
        <v>402</v>
      </c>
      <c r="K34" t="s">
        <v>156</v>
      </c>
      <c r="L34" t="s">
        <v>157</v>
      </c>
    </row>
    <row r="35" spans="1:12">
      <c r="A35" t="s">
        <v>158</v>
      </c>
      <c r="B35" s="3">
        <v>45698</v>
      </c>
      <c r="D35" t="s">
        <v>159</v>
      </c>
      <c r="E35" t="s">
        <v>160</v>
      </c>
      <c r="F35" t="s">
        <v>61</v>
      </c>
      <c r="G35" t="s">
        <v>62</v>
      </c>
      <c r="H35" t="s">
        <v>34</v>
      </c>
      <c r="I35" t="s">
        <v>20</v>
      </c>
      <c r="J35" s="4">
        <v>820</v>
      </c>
      <c r="K35" s="3">
        <v>45698</v>
      </c>
      <c r="L35" t="s">
        <v>161</v>
      </c>
    </row>
    <row r="36" spans="1:12">
      <c r="A36" t="s">
        <v>162</v>
      </c>
      <c r="B36" s="3">
        <v>45698</v>
      </c>
      <c r="D36" t="s">
        <v>163</v>
      </c>
      <c r="E36" t="s">
        <v>164</v>
      </c>
      <c r="F36" t="s">
        <v>51</v>
      </c>
      <c r="G36" t="s">
        <v>151</v>
      </c>
      <c r="H36" t="s">
        <v>19</v>
      </c>
      <c r="I36" t="s">
        <v>20</v>
      </c>
      <c r="J36" t="s">
        <v>165</v>
      </c>
      <c r="K36" s="3">
        <v>45730</v>
      </c>
      <c r="L36" t="s">
        <v>166</v>
      </c>
    </row>
    <row r="37" spans="1:12">
      <c r="A37" t="s">
        <v>167</v>
      </c>
      <c r="B37" s="3">
        <v>45699</v>
      </c>
      <c r="C37">
        <v>10014</v>
      </c>
      <c r="D37" t="s">
        <v>59</v>
      </c>
      <c r="E37" t="s">
        <v>60</v>
      </c>
      <c r="F37" t="s">
        <v>17</v>
      </c>
      <c r="G37" t="s">
        <v>119</v>
      </c>
      <c r="H37" t="s">
        <v>28</v>
      </c>
      <c r="I37" t="s">
        <v>20</v>
      </c>
      <c r="J37" s="4">
        <v>139</v>
      </c>
      <c r="K37" s="3">
        <v>45705</v>
      </c>
      <c r="L37" t="s">
        <v>168</v>
      </c>
    </row>
    <row r="38" spans="1:12">
      <c r="A38" t="s">
        <v>169</v>
      </c>
      <c r="B38" s="3">
        <v>45699</v>
      </c>
      <c r="C38">
        <v>10104</v>
      </c>
      <c r="D38" t="s">
        <v>170</v>
      </c>
      <c r="E38" t="s">
        <v>171</v>
      </c>
      <c r="F38" t="s">
        <v>61</v>
      </c>
      <c r="G38" t="s">
        <v>172</v>
      </c>
      <c r="H38" t="s">
        <v>34</v>
      </c>
      <c r="I38" t="s">
        <v>20</v>
      </c>
      <c r="J38" t="s">
        <v>173</v>
      </c>
      <c r="K38" t="s">
        <v>156</v>
      </c>
      <c r="L38" t="s">
        <v>174</v>
      </c>
    </row>
    <row r="39" spans="1:12">
      <c r="A39" t="s">
        <v>175</v>
      </c>
      <c r="B39" s="3">
        <v>45700</v>
      </c>
      <c r="C39">
        <v>10072</v>
      </c>
      <c r="D39" t="s">
        <v>176</v>
      </c>
      <c r="E39" t="s">
        <v>177</v>
      </c>
      <c r="F39" t="s">
        <v>17</v>
      </c>
      <c r="G39" t="s">
        <v>119</v>
      </c>
      <c r="H39" t="s">
        <v>40</v>
      </c>
      <c r="I39" t="s">
        <v>63</v>
      </c>
    </row>
    <row r="40" spans="1:12">
      <c r="A40" t="s">
        <v>178</v>
      </c>
      <c r="B40" s="3">
        <v>45701</v>
      </c>
      <c r="C40">
        <v>10062</v>
      </c>
      <c r="D40" t="s">
        <v>179</v>
      </c>
      <c r="E40" t="s">
        <v>180</v>
      </c>
      <c r="F40" t="s">
        <v>61</v>
      </c>
      <c r="G40" t="s">
        <v>181</v>
      </c>
      <c r="H40" t="s">
        <v>28</v>
      </c>
      <c r="I40" t="s">
        <v>20</v>
      </c>
      <c r="J40" s="4">
        <v>700</v>
      </c>
      <c r="K40" s="3">
        <v>45705</v>
      </c>
    </row>
    <row r="41" spans="1:12">
      <c r="A41" t="s">
        <v>182</v>
      </c>
      <c r="B41" s="3">
        <v>45702</v>
      </c>
      <c r="D41" t="s">
        <v>113</v>
      </c>
      <c r="E41" t="s">
        <v>114</v>
      </c>
      <c r="F41" t="s">
        <v>46</v>
      </c>
      <c r="G41" t="s">
        <v>183</v>
      </c>
      <c r="H41" t="s">
        <v>53</v>
      </c>
      <c r="I41" t="s">
        <v>20</v>
      </c>
      <c r="J41" s="4">
        <v>15827</v>
      </c>
      <c r="K41" s="3">
        <v>45747</v>
      </c>
      <c r="L41" t="s">
        <v>184</v>
      </c>
    </row>
    <row r="42" spans="1:12">
      <c r="A42" t="s">
        <v>185</v>
      </c>
      <c r="B42" s="3">
        <v>45705</v>
      </c>
      <c r="C42">
        <v>10005</v>
      </c>
      <c r="D42" t="s">
        <v>144</v>
      </c>
      <c r="E42" t="s">
        <v>186</v>
      </c>
      <c r="F42" t="s">
        <v>17</v>
      </c>
      <c r="G42" t="s">
        <v>119</v>
      </c>
      <c r="H42" t="s">
        <v>34</v>
      </c>
      <c r="I42" t="s">
        <v>20</v>
      </c>
      <c r="J42" t="s">
        <v>21</v>
      </c>
      <c r="K42" s="3">
        <v>45709</v>
      </c>
    </row>
    <row r="43" spans="1:12">
      <c r="A43" t="s">
        <v>187</v>
      </c>
      <c r="B43" s="3">
        <v>45709</v>
      </c>
      <c r="C43">
        <v>10050</v>
      </c>
      <c r="D43" t="s">
        <v>37</v>
      </c>
      <c r="E43" t="s">
        <v>38</v>
      </c>
      <c r="F43" t="s">
        <v>26</v>
      </c>
      <c r="G43" t="s">
        <v>188</v>
      </c>
      <c r="H43" t="s">
        <v>28</v>
      </c>
      <c r="I43" t="s">
        <v>74</v>
      </c>
      <c r="J43" s="4">
        <v>1139</v>
      </c>
      <c r="K43" s="3">
        <v>45714</v>
      </c>
    </row>
    <row r="44" spans="1:12">
      <c r="A44" t="s">
        <v>189</v>
      </c>
      <c r="B44" s="3">
        <v>45712</v>
      </c>
      <c r="C44">
        <v>10081</v>
      </c>
      <c r="D44" t="s">
        <v>159</v>
      </c>
      <c r="E44" t="s">
        <v>160</v>
      </c>
      <c r="F44" t="s">
        <v>26</v>
      </c>
      <c r="G44" t="s">
        <v>188</v>
      </c>
      <c r="H44" t="s">
        <v>19</v>
      </c>
      <c r="I44" t="s">
        <v>20</v>
      </c>
      <c r="J44" s="4">
        <v>933</v>
      </c>
      <c r="K44" s="3">
        <v>45712</v>
      </c>
    </row>
    <row r="45" spans="1:12">
      <c r="A45" t="s">
        <v>190</v>
      </c>
      <c r="B45" s="3">
        <v>45713</v>
      </c>
      <c r="C45">
        <v>10036</v>
      </c>
      <c r="D45" t="s">
        <v>191</v>
      </c>
      <c r="E45" t="s">
        <v>192</v>
      </c>
      <c r="F45" t="s">
        <v>32</v>
      </c>
      <c r="G45" t="s">
        <v>103</v>
      </c>
      <c r="H45" t="s">
        <v>34</v>
      </c>
      <c r="I45" t="s">
        <v>63</v>
      </c>
    </row>
    <row r="46" spans="1:12">
      <c r="A46" t="s">
        <v>193</v>
      </c>
      <c r="B46" s="3">
        <v>45713</v>
      </c>
      <c r="C46">
        <v>10046</v>
      </c>
      <c r="D46" t="s">
        <v>194</v>
      </c>
      <c r="E46" t="s">
        <v>195</v>
      </c>
      <c r="F46" t="s">
        <v>61</v>
      </c>
      <c r="G46" t="s">
        <v>62</v>
      </c>
      <c r="H46" t="s">
        <v>19</v>
      </c>
      <c r="I46" t="s">
        <v>20</v>
      </c>
      <c r="J46" s="4">
        <v>1340</v>
      </c>
      <c r="K46" s="3">
        <v>45715</v>
      </c>
      <c r="L46" t="s">
        <v>196</v>
      </c>
    </row>
    <row r="47" spans="1:12">
      <c r="A47" t="s">
        <v>197</v>
      </c>
      <c r="B47" s="3">
        <v>45714</v>
      </c>
      <c r="D47" t="s">
        <v>30</v>
      </c>
      <c r="E47" t="s">
        <v>198</v>
      </c>
      <c r="F47" t="s">
        <v>32</v>
      </c>
      <c r="G47" t="s">
        <v>33</v>
      </c>
      <c r="H47" t="s">
        <v>199</v>
      </c>
      <c r="I47" t="s">
        <v>20</v>
      </c>
      <c r="J47" s="4">
        <v>490</v>
      </c>
      <c r="K47" s="3">
        <v>45715</v>
      </c>
      <c r="L47" t="s">
        <v>200</v>
      </c>
    </row>
    <row r="48" spans="1:12">
      <c r="D48" s="5" t="s">
        <v>201</v>
      </c>
      <c r="J48" s="6">
        <f>SUBTOTAL(9,J28:J47)</f>
        <v>53765.0</v>
      </c>
    </row>
    <row r="50" spans="1:12">
      <c r="A50" t="s">
        <v>202</v>
      </c>
      <c r="B50" s="3">
        <v>45719</v>
      </c>
      <c r="C50">
        <v>10113</v>
      </c>
      <c r="D50" t="s">
        <v>203</v>
      </c>
      <c r="E50" t="s">
        <v>204</v>
      </c>
      <c r="F50" t="s">
        <v>26</v>
      </c>
      <c r="G50" t="s">
        <v>155</v>
      </c>
      <c r="H50" t="s">
        <v>28</v>
      </c>
      <c r="I50" t="s">
        <v>20</v>
      </c>
      <c r="J50" s="4">
        <v>617</v>
      </c>
      <c r="K50" s="3">
        <v>45723</v>
      </c>
      <c r="L50" t="s">
        <v>205</v>
      </c>
    </row>
    <row r="51" spans="1:12">
      <c r="A51" t="s">
        <v>206</v>
      </c>
      <c r="B51" s="3">
        <v>45719</v>
      </c>
      <c r="C51">
        <v>10132</v>
      </c>
      <c r="D51" t="s">
        <v>207</v>
      </c>
      <c r="E51" t="s">
        <v>208</v>
      </c>
      <c r="F51" t="s">
        <v>17</v>
      </c>
      <c r="G51" t="s">
        <v>18</v>
      </c>
      <c r="H51" t="s">
        <v>28</v>
      </c>
      <c r="I51" t="s">
        <v>20</v>
      </c>
      <c r="J51" s="4">
        <v>149</v>
      </c>
      <c r="K51" s="3">
        <v>45720</v>
      </c>
      <c r="L51" t="s">
        <v>209</v>
      </c>
    </row>
    <row r="52" spans="1:12">
      <c r="A52" t="s">
        <v>210</v>
      </c>
      <c r="B52" s="3">
        <v>45721</v>
      </c>
      <c r="C52">
        <v>10027</v>
      </c>
      <c r="D52" t="s">
        <v>30</v>
      </c>
      <c r="E52" t="s">
        <v>31</v>
      </c>
      <c r="F52" t="s">
        <v>32</v>
      </c>
      <c r="G52" t="s">
        <v>68</v>
      </c>
      <c r="H52" t="s">
        <v>28</v>
      </c>
      <c r="I52" t="s">
        <v>20</v>
      </c>
      <c r="J52" s="4">
        <v>206</v>
      </c>
      <c r="K52" s="3">
        <v>45723</v>
      </c>
      <c r="L52" t="s">
        <v>211</v>
      </c>
    </row>
    <row r="53" spans="1:12">
      <c r="A53" t="s">
        <v>212</v>
      </c>
      <c r="B53" s="3">
        <v>45721</v>
      </c>
      <c r="C53">
        <v>10050</v>
      </c>
      <c r="D53" t="s">
        <v>37</v>
      </c>
      <c r="E53" t="s">
        <v>111</v>
      </c>
      <c r="F53" t="s">
        <v>32</v>
      </c>
      <c r="G53" t="s">
        <v>33</v>
      </c>
      <c r="H53" t="s">
        <v>19</v>
      </c>
      <c r="I53" t="s">
        <v>20</v>
      </c>
      <c r="J53" s="4">
        <v>625</v>
      </c>
      <c r="K53" s="3">
        <v>45721</v>
      </c>
    </row>
    <row r="54" spans="1:12">
      <c r="A54" t="s">
        <v>213</v>
      </c>
      <c r="B54" s="3">
        <v>45721</v>
      </c>
      <c r="C54">
        <v>10114</v>
      </c>
      <c r="D54" t="s">
        <v>97</v>
      </c>
      <c r="E54" t="s">
        <v>98</v>
      </c>
      <c r="F54" t="s">
        <v>61</v>
      </c>
      <c r="G54" t="s">
        <v>62</v>
      </c>
      <c r="H54" t="s">
        <v>19</v>
      </c>
      <c r="I54" t="s">
        <v>20</v>
      </c>
      <c r="J54" s="4">
        <v>992</v>
      </c>
      <c r="K54" s="3">
        <v>45727</v>
      </c>
      <c r="L54" t="s">
        <v>214</v>
      </c>
    </row>
    <row r="55" spans="1:12">
      <c r="A55" t="s">
        <v>215</v>
      </c>
      <c r="B55" s="3">
        <v>45726</v>
      </c>
      <c r="C55">
        <v>10094</v>
      </c>
      <c r="D55" t="s">
        <v>216</v>
      </c>
      <c r="E55" t="s">
        <v>217</v>
      </c>
      <c r="F55" t="s">
        <v>17</v>
      </c>
      <c r="G55" t="s">
        <v>18</v>
      </c>
      <c r="H55" t="s">
        <v>40</v>
      </c>
      <c r="I55" t="s">
        <v>20</v>
      </c>
      <c r="J55" s="4">
        <v>139</v>
      </c>
      <c r="K55" s="3">
        <v>45728</v>
      </c>
    </row>
    <row r="56" spans="1:12">
      <c r="A56" t="s">
        <v>218</v>
      </c>
      <c r="B56" s="3">
        <v>45728</v>
      </c>
      <c r="C56">
        <v>10002</v>
      </c>
      <c r="D56" t="s">
        <v>219</v>
      </c>
      <c r="E56" t="s">
        <v>220</v>
      </c>
      <c r="F56" t="s">
        <v>32</v>
      </c>
      <c r="G56" t="s">
        <v>103</v>
      </c>
      <c r="H56" t="s">
        <v>28</v>
      </c>
      <c r="I56" t="s">
        <v>20</v>
      </c>
      <c r="J56" s="4">
        <v>614</v>
      </c>
      <c r="K56" s="3">
        <v>45733</v>
      </c>
      <c r="L56" t="s">
        <v>221</v>
      </c>
    </row>
    <row r="57" spans="1:12">
      <c r="A57" t="s">
        <v>222</v>
      </c>
      <c r="B57" s="3">
        <v>45728</v>
      </c>
      <c r="D57" t="s">
        <v>223</v>
      </c>
      <c r="E57" t="s">
        <v>224</v>
      </c>
      <c r="F57" t="s">
        <v>225</v>
      </c>
      <c r="G57" t="s">
        <v>226</v>
      </c>
      <c r="H57" t="s">
        <v>28</v>
      </c>
      <c r="I57" t="s">
        <v>20</v>
      </c>
      <c r="J57" s="4">
        <v>429</v>
      </c>
      <c r="K57" s="3">
        <v>45734</v>
      </c>
    </row>
    <row r="58" spans="1:12">
      <c r="A58" t="s">
        <v>227</v>
      </c>
      <c r="B58" s="3">
        <v>45728</v>
      </c>
      <c r="D58" t="s">
        <v>228</v>
      </c>
      <c r="E58" t="s">
        <v>130</v>
      </c>
      <c r="F58" t="s">
        <v>61</v>
      </c>
      <c r="G58" t="s">
        <v>124</v>
      </c>
      <c r="H58" t="s">
        <v>34</v>
      </c>
      <c r="I58" t="s">
        <v>20</v>
      </c>
      <c r="J58" s="4">
        <v>943</v>
      </c>
      <c r="K58" s="3">
        <v>45733</v>
      </c>
    </row>
    <row r="59" spans="1:12">
      <c r="A59" t="s">
        <v>229</v>
      </c>
      <c r="B59" s="3">
        <v>45734</v>
      </c>
      <c r="C59">
        <v>10013</v>
      </c>
      <c r="D59" t="s">
        <v>76</v>
      </c>
      <c r="E59" t="s">
        <v>230</v>
      </c>
      <c r="F59" t="s">
        <v>17</v>
      </c>
      <c r="G59" t="s">
        <v>78</v>
      </c>
      <c r="H59" t="s">
        <v>28</v>
      </c>
      <c r="I59" t="s">
        <v>20</v>
      </c>
      <c r="J59" s="4">
        <v>149</v>
      </c>
      <c r="K59" s="3">
        <v>45737</v>
      </c>
    </row>
    <row r="60" spans="1:12">
      <c r="A60" t="s">
        <v>231</v>
      </c>
      <c r="B60" s="3">
        <v>45734</v>
      </c>
      <c r="C60">
        <v>10082</v>
      </c>
      <c r="D60" t="s">
        <v>232</v>
      </c>
      <c r="E60" t="s">
        <v>67</v>
      </c>
      <c r="F60" t="s">
        <v>233</v>
      </c>
      <c r="G60" t="s">
        <v>234</v>
      </c>
      <c r="H60" t="s">
        <v>19</v>
      </c>
      <c r="I60" t="s">
        <v>20</v>
      </c>
      <c r="J60" s="4">
        <v>28743</v>
      </c>
      <c r="K60" t="s">
        <v>235</v>
      </c>
    </row>
    <row r="61" spans="1:12">
      <c r="A61" t="s">
        <v>236</v>
      </c>
      <c r="B61" s="3">
        <v>45737</v>
      </c>
      <c r="C61">
        <v>10085</v>
      </c>
      <c r="D61" t="s">
        <v>237</v>
      </c>
      <c r="E61" t="s">
        <v>150</v>
      </c>
      <c r="F61" t="s">
        <v>51</v>
      </c>
      <c r="G61" t="s">
        <v>151</v>
      </c>
      <c r="H61" t="s">
        <v>53</v>
      </c>
      <c r="I61" t="s">
        <v>20</v>
      </c>
      <c r="J61" s="4">
        <v>17256</v>
      </c>
      <c r="K61" s="3">
        <v>45782</v>
      </c>
      <c r="L61" t="s">
        <v>238</v>
      </c>
    </row>
    <row r="62" spans="1:12">
      <c r="A62" t="s">
        <v>239</v>
      </c>
      <c r="B62" s="3">
        <v>45740</v>
      </c>
      <c r="C62">
        <v>10008</v>
      </c>
      <c r="D62" t="s">
        <v>240</v>
      </c>
      <c r="E62" t="s">
        <v>241</v>
      </c>
      <c r="F62" t="s">
        <v>26</v>
      </c>
      <c r="G62" t="s">
        <v>242</v>
      </c>
      <c r="H62" t="s">
        <v>19</v>
      </c>
      <c r="I62" t="s">
        <v>20</v>
      </c>
      <c r="J62" s="4">
        <v>699</v>
      </c>
      <c r="K62" s="3">
        <v>45742</v>
      </c>
      <c r="L62" t="s">
        <v>243</v>
      </c>
    </row>
    <row r="63" spans="1:12">
      <c r="A63" t="s">
        <v>244</v>
      </c>
      <c r="B63" s="3">
        <v>45740</v>
      </c>
      <c r="C63">
        <v>10032</v>
      </c>
      <c r="D63" t="s">
        <v>245</v>
      </c>
      <c r="E63" t="s">
        <v>246</v>
      </c>
      <c r="F63" t="s">
        <v>26</v>
      </c>
      <c r="G63" t="s">
        <v>155</v>
      </c>
      <c r="H63" t="s">
        <v>28</v>
      </c>
      <c r="I63" t="s">
        <v>20</v>
      </c>
      <c r="J63" s="4">
        <v>907</v>
      </c>
      <c r="K63" t="s">
        <v>247</v>
      </c>
      <c r="L63" t="s">
        <v>248</v>
      </c>
    </row>
    <row r="64" spans="1:12">
      <c r="A64" t="s">
        <v>249</v>
      </c>
      <c r="B64" s="3">
        <v>45741</v>
      </c>
      <c r="C64">
        <v>10068</v>
      </c>
      <c r="D64" t="s">
        <v>250</v>
      </c>
      <c r="E64" t="s">
        <v>251</v>
      </c>
      <c r="F64" t="s">
        <v>61</v>
      </c>
      <c r="G64" t="s">
        <v>62</v>
      </c>
      <c r="H64" t="s">
        <v>19</v>
      </c>
      <c r="I64" t="s">
        <v>20</v>
      </c>
      <c r="J64" s="4">
        <v>1729</v>
      </c>
      <c r="K64" s="3">
        <v>45743</v>
      </c>
      <c r="L64" t="s">
        <v>252</v>
      </c>
    </row>
    <row r="65" spans="1:12">
      <c r="A65" t="s">
        <v>253</v>
      </c>
      <c r="B65" s="3">
        <v>45743</v>
      </c>
      <c r="D65" t="s">
        <v>170</v>
      </c>
      <c r="E65" t="s">
        <v>171</v>
      </c>
      <c r="F65" t="s">
        <v>26</v>
      </c>
      <c r="G65" t="s">
        <v>27</v>
      </c>
      <c r="H65" t="s">
        <v>28</v>
      </c>
      <c r="I65" t="s">
        <v>20</v>
      </c>
      <c r="J65" s="4">
        <v>876</v>
      </c>
      <c r="K65" s="3">
        <v>45749</v>
      </c>
    </row>
    <row r="66" spans="1:12">
      <c r="A66" t="s">
        <v>254</v>
      </c>
      <c r="B66" s="3">
        <v>45747</v>
      </c>
      <c r="C66">
        <v>10013</v>
      </c>
      <c r="D66" t="s">
        <v>76</v>
      </c>
      <c r="E66" t="s">
        <v>230</v>
      </c>
      <c r="F66" t="s">
        <v>32</v>
      </c>
      <c r="G66" t="s">
        <v>33</v>
      </c>
      <c r="H66" t="s">
        <v>28</v>
      </c>
      <c r="I66" t="s">
        <v>20</v>
      </c>
      <c r="J66" t="s">
        <v>255</v>
      </c>
      <c r="K66" s="3">
        <v>45748</v>
      </c>
      <c r="L66" t="s">
        <v>256</v>
      </c>
    </row>
    <row r="67" spans="1:12">
      <c r="A67" t="s">
        <v>257</v>
      </c>
      <c r="B67" s="3">
        <v>45747</v>
      </c>
      <c r="C67">
        <v>10061</v>
      </c>
      <c r="D67" t="s">
        <v>258</v>
      </c>
      <c r="E67" t="s">
        <v>259</v>
      </c>
      <c r="F67" t="s">
        <v>17</v>
      </c>
      <c r="G67" t="s">
        <v>119</v>
      </c>
      <c r="H67" t="s">
        <v>28</v>
      </c>
      <c r="I67" t="s">
        <v>20</v>
      </c>
      <c r="J67" t="s">
        <v>260</v>
      </c>
      <c r="K67" s="3">
        <v>45749</v>
      </c>
      <c r="L67" t="s">
        <v>261</v>
      </c>
    </row>
    <row r="68" spans="1:12">
      <c r="D68" s="5" t="s">
        <v>262</v>
      </c>
      <c r="J68" s="6">
        <f>SUBTOTAL(9,J50:J67)</f>
        <v>55073.0</v>
      </c>
    </row>
    <row r="70" spans="1:12">
      <c r="A70" t="s">
        <v>263</v>
      </c>
      <c r="B70" s="3">
        <v>45749</v>
      </c>
      <c r="D70" t="s">
        <v>264</v>
      </c>
      <c r="E70" t="s">
        <v>265</v>
      </c>
      <c r="F70" t="s">
        <v>225</v>
      </c>
      <c r="G70" t="s">
        <v>266</v>
      </c>
      <c r="H70" t="s">
        <v>40</v>
      </c>
      <c r="I70" t="s">
        <v>20</v>
      </c>
      <c r="J70" t="s">
        <v>267</v>
      </c>
      <c r="K70" s="3">
        <v>45749</v>
      </c>
      <c r="L70" t="s">
        <v>268</v>
      </c>
    </row>
    <row r="71" spans="1:12">
      <c r="A71" t="s">
        <v>269</v>
      </c>
      <c r="B71" s="3">
        <v>45751</v>
      </c>
      <c r="C71">
        <v>10007</v>
      </c>
      <c r="D71" t="s">
        <v>270</v>
      </c>
      <c r="E71" t="s">
        <v>271</v>
      </c>
      <c r="F71" t="s">
        <v>17</v>
      </c>
      <c r="G71" t="s">
        <v>88</v>
      </c>
      <c r="H71" t="s">
        <v>40</v>
      </c>
      <c r="I71" t="s">
        <v>20</v>
      </c>
      <c r="J71" s="4">
        <v>189</v>
      </c>
      <c r="K71" s="3">
        <v>45756</v>
      </c>
      <c r="L71" t="s">
        <v>272</v>
      </c>
    </row>
    <row r="72" spans="1:12">
      <c r="A72" t="s">
        <v>273</v>
      </c>
      <c r="B72" s="3">
        <v>45751</v>
      </c>
      <c r="C72">
        <v>10094</v>
      </c>
      <c r="D72" t="s">
        <v>216</v>
      </c>
      <c r="E72" t="s">
        <v>217</v>
      </c>
      <c r="F72" t="s">
        <v>61</v>
      </c>
      <c r="G72" t="s">
        <v>124</v>
      </c>
      <c r="H72" t="s">
        <v>34</v>
      </c>
      <c r="I72" t="s">
        <v>20</v>
      </c>
      <c r="J72" t="s">
        <v>274</v>
      </c>
      <c r="K72" s="3">
        <v>45754</v>
      </c>
      <c r="L72" t="s">
        <v>275</v>
      </c>
    </row>
    <row r="73" spans="1:12">
      <c r="A73" t="s">
        <v>276</v>
      </c>
      <c r="B73" s="3">
        <v>45754</v>
      </c>
      <c r="C73">
        <v>10002</v>
      </c>
      <c r="D73" t="s">
        <v>277</v>
      </c>
      <c r="E73" t="s">
        <v>220</v>
      </c>
      <c r="F73" t="s">
        <v>26</v>
      </c>
      <c r="G73" t="s">
        <v>242</v>
      </c>
      <c r="H73" t="s">
        <v>40</v>
      </c>
      <c r="I73" t="s">
        <v>20</v>
      </c>
      <c r="J73" t="s">
        <v>278</v>
      </c>
      <c r="K73" s="3">
        <v>45758</v>
      </c>
      <c r="L73" t="s">
        <v>279</v>
      </c>
    </row>
    <row r="74" spans="1:12">
      <c r="A74" t="s">
        <v>280</v>
      </c>
      <c r="B74" s="3">
        <v>45754</v>
      </c>
      <c r="D74" t="s">
        <v>223</v>
      </c>
      <c r="E74" t="s">
        <v>281</v>
      </c>
      <c r="F74" t="s">
        <v>17</v>
      </c>
      <c r="G74" t="s">
        <v>88</v>
      </c>
      <c r="H74" t="s">
        <v>40</v>
      </c>
      <c r="I74" t="s">
        <v>20</v>
      </c>
      <c r="J74" s="4">
        <v>139</v>
      </c>
      <c r="K74" s="3">
        <v>45754</v>
      </c>
      <c r="L74" t="s">
        <v>282</v>
      </c>
    </row>
    <row r="75" spans="1:12">
      <c r="A75" t="s">
        <v>283</v>
      </c>
      <c r="B75" s="3">
        <v>45754</v>
      </c>
      <c r="D75" t="s">
        <v>284</v>
      </c>
      <c r="E75" t="s">
        <v>285</v>
      </c>
      <c r="F75" t="s">
        <v>17</v>
      </c>
      <c r="G75" t="s">
        <v>18</v>
      </c>
      <c r="H75" t="s">
        <v>28</v>
      </c>
      <c r="I75" t="s">
        <v>20</v>
      </c>
      <c r="J75" s="4">
        <v>139</v>
      </c>
      <c r="K75" s="3">
        <v>45756</v>
      </c>
      <c r="L75" t="s">
        <v>286</v>
      </c>
    </row>
    <row r="76" spans="1:12">
      <c r="A76" t="s">
        <v>287</v>
      </c>
      <c r="B76" s="3">
        <v>45754</v>
      </c>
      <c r="C76">
        <v>10110</v>
      </c>
      <c r="D76" t="s">
        <v>288</v>
      </c>
      <c r="E76" t="s">
        <v>289</v>
      </c>
      <c r="F76" t="s">
        <v>61</v>
      </c>
      <c r="G76" t="s">
        <v>172</v>
      </c>
      <c r="H76" t="s">
        <v>19</v>
      </c>
      <c r="I76" t="s">
        <v>20</v>
      </c>
      <c r="J76" s="4">
        <v>610</v>
      </c>
      <c r="K76" s="3">
        <v>45756</v>
      </c>
      <c r="L76" t="s">
        <v>290</v>
      </c>
    </row>
    <row r="77" spans="1:12">
      <c r="A77" t="s">
        <v>291</v>
      </c>
      <c r="B77" s="3">
        <v>45755</v>
      </c>
      <c r="C77">
        <v>10008</v>
      </c>
      <c r="D77" t="s">
        <v>240</v>
      </c>
      <c r="E77" t="s">
        <v>224</v>
      </c>
      <c r="F77" t="s">
        <v>292</v>
      </c>
      <c r="G77" t="s">
        <v>293</v>
      </c>
      <c r="H77" t="s">
        <v>19</v>
      </c>
      <c r="I77" t="s">
        <v>20</v>
      </c>
      <c r="J77" s="4">
        <v>1204</v>
      </c>
      <c r="K77" s="3">
        <v>45758</v>
      </c>
      <c r="L77" t="s">
        <v>294</v>
      </c>
    </row>
    <row r="78" spans="1:12">
      <c r="A78" t="s">
        <v>295</v>
      </c>
      <c r="B78" s="3">
        <v>45755</v>
      </c>
      <c r="C78">
        <v>10027</v>
      </c>
      <c r="D78" t="s">
        <v>30</v>
      </c>
      <c r="E78" t="s">
        <v>296</v>
      </c>
      <c r="F78" t="s">
        <v>225</v>
      </c>
      <c r="G78" t="s">
        <v>297</v>
      </c>
      <c r="H78" t="s">
        <v>28</v>
      </c>
      <c r="I78" t="s">
        <v>20</v>
      </c>
      <c r="J78" s="4">
        <v>377</v>
      </c>
      <c r="K78" s="3">
        <v>45761</v>
      </c>
      <c r="L78" t="s">
        <v>298</v>
      </c>
    </row>
    <row r="79" spans="1:12">
      <c r="A79" t="s">
        <v>299</v>
      </c>
      <c r="B79" s="3">
        <v>45756</v>
      </c>
      <c r="C79">
        <v>10026</v>
      </c>
      <c r="D79" t="s">
        <v>300</v>
      </c>
      <c r="E79" t="s">
        <v>301</v>
      </c>
      <c r="F79" t="s">
        <v>26</v>
      </c>
      <c r="G79" t="s">
        <v>302</v>
      </c>
      <c r="H79" t="s">
        <v>40</v>
      </c>
      <c r="I79" t="s">
        <v>20</v>
      </c>
      <c r="J79" s="4">
        <v>99</v>
      </c>
      <c r="K79" s="3">
        <v>45761</v>
      </c>
      <c r="L79" t="s">
        <v>303</v>
      </c>
    </row>
    <row r="80" spans="1:12">
      <c r="A80" t="s">
        <v>304</v>
      </c>
      <c r="B80" s="3">
        <v>45758</v>
      </c>
      <c r="C80">
        <v>10033</v>
      </c>
      <c r="D80" t="s">
        <v>305</v>
      </c>
      <c r="E80" t="s">
        <v>306</v>
      </c>
      <c r="F80" t="s">
        <v>17</v>
      </c>
      <c r="G80" t="s">
        <v>78</v>
      </c>
      <c r="H80" t="s">
        <v>28</v>
      </c>
      <c r="I80" t="s">
        <v>20</v>
      </c>
      <c r="J80" s="4">
        <v>189</v>
      </c>
      <c r="K80" s="3">
        <v>45763</v>
      </c>
      <c r="L80" t="s">
        <v>307</v>
      </c>
    </row>
    <row r="81" spans="1:12">
      <c r="A81" t="s">
        <v>308</v>
      </c>
      <c r="B81" s="3">
        <v>45762</v>
      </c>
      <c r="C81">
        <v>10108</v>
      </c>
      <c r="D81" t="s">
        <v>309</v>
      </c>
      <c r="E81" t="s">
        <v>310</v>
      </c>
      <c r="F81" t="s">
        <v>26</v>
      </c>
      <c r="G81" t="s">
        <v>39</v>
      </c>
      <c r="H81" t="s">
        <v>28</v>
      </c>
      <c r="I81" t="s">
        <v>20</v>
      </c>
      <c r="J81" s="4">
        <v>1128</v>
      </c>
      <c r="K81" s="3">
        <v>45769</v>
      </c>
      <c r="L81" t="s">
        <v>311</v>
      </c>
    </row>
    <row r="82" spans="1:12">
      <c r="A82" t="s">
        <v>312</v>
      </c>
      <c r="B82" s="3">
        <v>45763</v>
      </c>
      <c r="C82">
        <v>10020</v>
      </c>
      <c r="D82" t="s">
        <v>313</v>
      </c>
      <c r="E82" t="s">
        <v>314</v>
      </c>
      <c r="F82" t="s">
        <v>32</v>
      </c>
      <c r="G82" t="s">
        <v>103</v>
      </c>
      <c r="H82" t="s">
        <v>34</v>
      </c>
      <c r="I82" t="s">
        <v>20</v>
      </c>
      <c r="J82" s="4">
        <v>468</v>
      </c>
      <c r="K82" t="s">
        <v>315</v>
      </c>
    </row>
    <row r="83" spans="1:12">
      <c r="A83" t="s">
        <v>316</v>
      </c>
      <c r="B83" s="3">
        <v>45763</v>
      </c>
      <c r="C83">
        <v>10108</v>
      </c>
      <c r="D83" t="s">
        <v>309</v>
      </c>
      <c r="E83" t="s">
        <v>310</v>
      </c>
      <c r="F83" t="s">
        <v>61</v>
      </c>
      <c r="G83" t="s">
        <v>84</v>
      </c>
      <c r="H83" t="s">
        <v>28</v>
      </c>
      <c r="I83" t="s">
        <v>20</v>
      </c>
      <c r="J83" s="4">
        <v>1389</v>
      </c>
      <c r="K83" s="3">
        <v>45769</v>
      </c>
      <c r="L83" t="s">
        <v>317</v>
      </c>
    </row>
    <row r="84" spans="1:12">
      <c r="A84" t="s">
        <v>318</v>
      </c>
      <c r="B84" s="3">
        <v>45763</v>
      </c>
      <c r="D84" t="s">
        <v>319</v>
      </c>
      <c r="E84" t="s">
        <v>320</v>
      </c>
      <c r="F84" t="s">
        <v>26</v>
      </c>
      <c r="G84" t="s">
        <v>27</v>
      </c>
      <c r="H84" t="s">
        <v>19</v>
      </c>
      <c r="I84" t="s">
        <v>63</v>
      </c>
      <c r="J84" s="4">
        <v>550</v>
      </c>
    </row>
    <row r="85" spans="1:12">
      <c r="A85" t="s">
        <v>321</v>
      </c>
      <c r="B85" s="3">
        <v>45769</v>
      </c>
      <c r="C85">
        <v>10051</v>
      </c>
      <c r="D85" t="s">
        <v>322</v>
      </c>
      <c r="E85" t="s">
        <v>323</v>
      </c>
      <c r="F85" t="s">
        <v>26</v>
      </c>
      <c r="G85" t="s">
        <v>188</v>
      </c>
      <c r="H85" t="s">
        <v>28</v>
      </c>
      <c r="I85" t="s">
        <v>20</v>
      </c>
      <c r="J85" t="s">
        <v>324</v>
      </c>
      <c r="K85" s="3">
        <v>45769</v>
      </c>
      <c r="L85" t="s">
        <v>325</v>
      </c>
    </row>
    <row r="86" spans="1:12">
      <c r="A86" t="s">
        <v>326</v>
      </c>
      <c r="B86" s="3">
        <v>45769</v>
      </c>
      <c r="C86">
        <v>10076</v>
      </c>
      <c r="D86" t="s">
        <v>327</v>
      </c>
      <c r="E86" t="s">
        <v>328</v>
      </c>
      <c r="F86" t="s">
        <v>17</v>
      </c>
      <c r="G86" t="s">
        <v>119</v>
      </c>
      <c r="H86" t="s">
        <v>28</v>
      </c>
      <c r="I86" t="s">
        <v>20</v>
      </c>
      <c r="J86" s="4">
        <v>139</v>
      </c>
      <c r="K86" s="3">
        <v>45769</v>
      </c>
      <c r="L86" t="s">
        <v>329</v>
      </c>
    </row>
    <row r="87" spans="1:12">
      <c r="A87" t="s">
        <v>330</v>
      </c>
      <c r="B87" s="3">
        <v>45769</v>
      </c>
      <c r="C87">
        <v>10094</v>
      </c>
      <c r="D87" t="s">
        <v>216</v>
      </c>
      <c r="E87" t="s">
        <v>217</v>
      </c>
      <c r="F87" t="s">
        <v>26</v>
      </c>
      <c r="G87" t="s">
        <v>188</v>
      </c>
      <c r="H87" t="s">
        <v>34</v>
      </c>
      <c r="I87" t="s">
        <v>20</v>
      </c>
      <c r="J87" s="4">
        <v>218</v>
      </c>
      <c r="K87" s="3">
        <v>45771</v>
      </c>
      <c r="L87" t="s">
        <v>331</v>
      </c>
    </row>
    <row r="88" spans="1:12">
      <c r="A88" t="s">
        <v>332</v>
      </c>
      <c r="B88" s="3">
        <v>45770</v>
      </c>
      <c r="C88">
        <v>10056</v>
      </c>
      <c r="D88" t="s">
        <v>333</v>
      </c>
      <c r="E88" t="s">
        <v>334</v>
      </c>
      <c r="F88" t="s">
        <v>26</v>
      </c>
      <c r="G88" t="s">
        <v>108</v>
      </c>
      <c r="H88" t="s">
        <v>199</v>
      </c>
      <c r="I88" t="s">
        <v>20</v>
      </c>
      <c r="J88" s="4">
        <v>922</v>
      </c>
      <c r="K88" s="3">
        <v>45771</v>
      </c>
      <c r="L88" t="s">
        <v>335</v>
      </c>
    </row>
    <row r="89" spans="1:12">
      <c r="A89" t="s">
        <v>336</v>
      </c>
      <c r="B89" s="3">
        <v>45771</v>
      </c>
      <c r="C89">
        <v>10094</v>
      </c>
      <c r="D89" t="s">
        <v>216</v>
      </c>
      <c r="E89" t="s">
        <v>217</v>
      </c>
      <c r="F89" t="s">
        <v>17</v>
      </c>
      <c r="G89" t="s">
        <v>88</v>
      </c>
      <c r="H89" t="s">
        <v>40</v>
      </c>
      <c r="I89" t="s">
        <v>20</v>
      </c>
      <c r="J89" s="4">
        <v>139</v>
      </c>
      <c r="K89" s="3">
        <v>45772</v>
      </c>
      <c r="L89" t="s">
        <v>337</v>
      </c>
    </row>
    <row r="90" spans="1:12">
      <c r="A90" t="s">
        <v>338</v>
      </c>
      <c r="B90" s="3">
        <v>45772</v>
      </c>
      <c r="C90">
        <v>10094</v>
      </c>
      <c r="D90" t="s">
        <v>216</v>
      </c>
      <c r="E90" t="s">
        <v>217</v>
      </c>
      <c r="F90" t="s">
        <v>32</v>
      </c>
      <c r="G90" t="s">
        <v>68</v>
      </c>
      <c r="H90" t="s">
        <v>28</v>
      </c>
      <c r="I90" t="s">
        <v>20</v>
      </c>
      <c r="J90" s="4">
        <v>396</v>
      </c>
      <c r="K90" s="3">
        <v>45776</v>
      </c>
      <c r="L90" t="s">
        <v>339</v>
      </c>
    </row>
    <row r="91" spans="1:12">
      <c r="A91" t="s">
        <v>340</v>
      </c>
      <c r="B91" s="3">
        <v>45777</v>
      </c>
      <c r="C91">
        <v>10027</v>
      </c>
      <c r="D91" t="s">
        <v>30</v>
      </c>
      <c r="E91" t="s">
        <v>341</v>
      </c>
      <c r="F91" t="s">
        <v>225</v>
      </c>
      <c r="G91" t="s">
        <v>297</v>
      </c>
      <c r="H91" t="s">
        <v>28</v>
      </c>
      <c r="I91" t="s">
        <v>20</v>
      </c>
      <c r="J91" s="4">
        <v>427</v>
      </c>
      <c r="K91" s="3">
        <v>45784</v>
      </c>
      <c r="L91" t="s">
        <v>342</v>
      </c>
    </row>
    <row r="92" spans="1:12">
      <c r="A92" t="s">
        <v>343</v>
      </c>
      <c r="B92" s="3">
        <v>45777</v>
      </c>
      <c r="C92">
        <v>10109</v>
      </c>
      <c r="D92" t="s">
        <v>140</v>
      </c>
      <c r="E92" t="s">
        <v>141</v>
      </c>
      <c r="F92" t="s">
        <v>61</v>
      </c>
      <c r="G92" t="s">
        <v>181</v>
      </c>
      <c r="H92" t="s">
        <v>40</v>
      </c>
      <c r="I92" t="s">
        <v>20</v>
      </c>
      <c r="J92" s="4">
        <v>342</v>
      </c>
      <c r="K92" s="3">
        <v>45782</v>
      </c>
    </row>
    <row r="93" spans="1:12">
      <c r="D93" s="5" t="s">
        <v>344</v>
      </c>
      <c r="J93" s="6">
        <f>SUBTOTAL(9,J70:J92)</f>
        <v>9064.0</v>
      </c>
    </row>
    <row r="95" spans="1:12">
      <c r="A95" t="s">
        <v>345</v>
      </c>
      <c r="B95" s="3">
        <v>45779</v>
      </c>
      <c r="D95" t="s">
        <v>346</v>
      </c>
      <c r="E95" t="s">
        <v>347</v>
      </c>
      <c r="F95" t="s">
        <v>51</v>
      </c>
      <c r="G95" t="s">
        <v>73</v>
      </c>
      <c r="H95" t="s">
        <v>19</v>
      </c>
      <c r="I95" t="s">
        <v>20</v>
      </c>
      <c r="J95" s="4">
        <v>13898</v>
      </c>
      <c r="K95" s="3">
        <v>45831</v>
      </c>
    </row>
    <row r="96" spans="1:12">
      <c r="A96" t="s">
        <v>348</v>
      </c>
      <c r="B96" s="3">
        <v>45779</v>
      </c>
      <c r="C96">
        <v>10117</v>
      </c>
      <c r="D96" t="s">
        <v>349</v>
      </c>
      <c r="E96" t="s">
        <v>350</v>
      </c>
      <c r="F96" t="s">
        <v>26</v>
      </c>
      <c r="G96" t="s">
        <v>188</v>
      </c>
      <c r="H96" t="s">
        <v>34</v>
      </c>
      <c r="I96" t="s">
        <v>20</v>
      </c>
      <c r="J96" s="4">
        <v>344</v>
      </c>
      <c r="K96" s="3">
        <v>45782</v>
      </c>
      <c r="L96" t="s">
        <v>351</v>
      </c>
    </row>
    <row r="97" spans="1:12">
      <c r="A97" t="s">
        <v>352</v>
      </c>
      <c r="B97" s="3">
        <v>45782</v>
      </c>
      <c r="C97">
        <v>10045</v>
      </c>
      <c r="D97" t="s">
        <v>264</v>
      </c>
      <c r="E97" t="s">
        <v>265</v>
      </c>
      <c r="F97" t="s">
        <v>225</v>
      </c>
      <c r="G97" t="s">
        <v>226</v>
      </c>
      <c r="H97" t="s">
        <v>40</v>
      </c>
      <c r="I97" t="s">
        <v>20</v>
      </c>
      <c r="J97" s="4">
        <v>345</v>
      </c>
      <c r="K97" s="3">
        <v>45784</v>
      </c>
      <c r="L97" t="s">
        <v>353</v>
      </c>
    </row>
    <row r="98" spans="1:12">
      <c r="A98" t="s">
        <v>354</v>
      </c>
      <c r="B98" s="3">
        <v>45782</v>
      </c>
      <c r="C98">
        <v>10107</v>
      </c>
      <c r="D98" t="s">
        <v>44</v>
      </c>
      <c r="E98" t="s">
        <v>45</v>
      </c>
      <c r="F98" t="s">
        <v>61</v>
      </c>
      <c r="G98" t="s">
        <v>62</v>
      </c>
      <c r="H98" t="s">
        <v>19</v>
      </c>
      <c r="I98" t="s">
        <v>20</v>
      </c>
      <c r="J98" s="4">
        <v>714</v>
      </c>
      <c r="K98" s="3">
        <v>45783</v>
      </c>
    </row>
    <row r="99" spans="1:12">
      <c r="A99" t="s">
        <v>355</v>
      </c>
      <c r="B99" s="3">
        <v>45782</v>
      </c>
      <c r="C99">
        <v>10117</v>
      </c>
      <c r="D99" t="s">
        <v>349</v>
      </c>
      <c r="E99" t="s">
        <v>350</v>
      </c>
      <c r="F99" t="s">
        <v>61</v>
      </c>
      <c r="G99" t="s">
        <v>62</v>
      </c>
      <c r="H99" t="s">
        <v>40</v>
      </c>
      <c r="I99" t="s">
        <v>20</v>
      </c>
      <c r="J99" s="4">
        <v>1556</v>
      </c>
      <c r="K99" t="s">
        <v>356</v>
      </c>
      <c r="L99" t="s">
        <v>357</v>
      </c>
    </row>
    <row r="100" spans="1:12">
      <c r="A100" t="s">
        <v>358</v>
      </c>
      <c r="B100" s="3">
        <v>45783</v>
      </c>
      <c r="D100" t="s">
        <v>359</v>
      </c>
      <c r="E100" t="s">
        <v>360</v>
      </c>
      <c r="F100" t="s">
        <v>17</v>
      </c>
      <c r="G100" t="s">
        <v>88</v>
      </c>
      <c r="H100" t="s">
        <v>28</v>
      </c>
      <c r="I100" t="s">
        <v>20</v>
      </c>
      <c r="J100" t="s">
        <v>361</v>
      </c>
      <c r="K100" s="3">
        <v>45783</v>
      </c>
      <c r="L100" t="s">
        <v>362</v>
      </c>
    </row>
    <row r="101" spans="1:12">
      <c r="A101" t="s">
        <v>363</v>
      </c>
      <c r="B101" s="3">
        <v>45784</v>
      </c>
      <c r="C101">
        <v>10050</v>
      </c>
      <c r="D101" t="s">
        <v>37</v>
      </c>
      <c r="E101" t="s">
        <v>364</v>
      </c>
      <c r="F101" t="s">
        <v>233</v>
      </c>
      <c r="G101" t="s">
        <v>365</v>
      </c>
      <c r="H101" t="s">
        <v>48</v>
      </c>
      <c r="I101" t="s">
        <v>20</v>
      </c>
      <c r="J101" s="4">
        <v>29422</v>
      </c>
      <c r="K101" s="3">
        <v>45805</v>
      </c>
      <c r="L101" t="s">
        <v>366</v>
      </c>
    </row>
    <row r="102" spans="1:12">
      <c r="A102" t="s">
        <v>367</v>
      </c>
      <c r="B102" s="3">
        <v>45789</v>
      </c>
      <c r="C102">
        <v>10002</v>
      </c>
      <c r="D102" t="s">
        <v>219</v>
      </c>
      <c r="E102" t="s">
        <v>220</v>
      </c>
      <c r="F102" t="s">
        <v>225</v>
      </c>
      <c r="G102" t="s">
        <v>266</v>
      </c>
      <c r="H102" t="s">
        <v>368</v>
      </c>
      <c r="I102" t="s">
        <v>20</v>
      </c>
      <c r="J102" s="4">
        <v>430</v>
      </c>
      <c r="K102" s="3">
        <v>45793</v>
      </c>
      <c r="L102" t="s">
        <v>369</v>
      </c>
    </row>
    <row r="103" spans="1:12">
      <c r="A103" t="s">
        <v>370</v>
      </c>
      <c r="B103" s="3">
        <v>45789</v>
      </c>
      <c r="D103" t="s">
        <v>371</v>
      </c>
      <c r="E103" t="s">
        <v>285</v>
      </c>
      <c r="F103" t="s">
        <v>225</v>
      </c>
      <c r="G103" t="s">
        <v>297</v>
      </c>
      <c r="H103" t="s">
        <v>34</v>
      </c>
      <c r="I103" t="s">
        <v>20</v>
      </c>
      <c r="J103" s="4">
        <v>424</v>
      </c>
      <c r="K103" s="3">
        <v>45792</v>
      </c>
    </row>
    <row r="104" spans="1:12">
      <c r="A104" t="s">
        <v>372</v>
      </c>
      <c r="B104" s="3">
        <v>45789</v>
      </c>
      <c r="D104" t="s">
        <v>82</v>
      </c>
      <c r="E104" t="s">
        <v>83</v>
      </c>
      <c r="F104" t="s">
        <v>17</v>
      </c>
      <c r="G104" t="s">
        <v>88</v>
      </c>
      <c r="H104" t="s">
        <v>28</v>
      </c>
      <c r="I104" t="s">
        <v>20</v>
      </c>
      <c r="J104" s="4">
        <v>189</v>
      </c>
      <c r="K104" s="3">
        <v>45791</v>
      </c>
      <c r="L104" t="s">
        <v>373</v>
      </c>
    </row>
    <row r="105" spans="1:12">
      <c r="A105" t="s">
        <v>374</v>
      </c>
      <c r="B105" s="3">
        <v>45790</v>
      </c>
      <c r="C105">
        <v>10081</v>
      </c>
      <c r="D105" t="s">
        <v>159</v>
      </c>
      <c r="E105" t="s">
        <v>160</v>
      </c>
      <c r="F105" t="s">
        <v>51</v>
      </c>
      <c r="G105" t="s">
        <v>52</v>
      </c>
      <c r="H105" t="s">
        <v>19</v>
      </c>
      <c r="I105" t="s">
        <v>20</v>
      </c>
      <c r="J105" s="4">
        <v>10037</v>
      </c>
      <c r="K105" s="3">
        <v>45824</v>
      </c>
      <c r="L105" t="s">
        <v>375</v>
      </c>
    </row>
    <row r="106" spans="1:12">
      <c r="A106" t="s">
        <v>376</v>
      </c>
      <c r="B106" s="3">
        <v>45792</v>
      </c>
      <c r="C106">
        <v>10043</v>
      </c>
      <c r="D106" t="s">
        <v>55</v>
      </c>
      <c r="E106" t="s">
        <v>56</v>
      </c>
      <c r="F106" t="s">
        <v>51</v>
      </c>
      <c r="G106" t="s">
        <v>73</v>
      </c>
      <c r="H106" t="s">
        <v>53</v>
      </c>
      <c r="I106" t="s">
        <v>20</v>
      </c>
      <c r="J106" s="4">
        <v>13849</v>
      </c>
      <c r="K106" s="3">
        <v>45841</v>
      </c>
      <c r="L106" t="s">
        <v>377</v>
      </c>
    </row>
    <row r="107" spans="1:12">
      <c r="A107" t="s">
        <v>378</v>
      </c>
      <c r="B107" s="3">
        <v>45792</v>
      </c>
      <c r="D107" t="s">
        <v>258</v>
      </c>
      <c r="E107" t="s">
        <v>259</v>
      </c>
      <c r="F107" t="s">
        <v>32</v>
      </c>
      <c r="G107" t="s">
        <v>33</v>
      </c>
      <c r="H107" t="s">
        <v>28</v>
      </c>
      <c r="I107" t="s">
        <v>20</v>
      </c>
      <c r="J107" s="4">
        <v>572</v>
      </c>
      <c r="K107" s="3">
        <v>45798</v>
      </c>
      <c r="L107" t="s">
        <v>379</v>
      </c>
    </row>
    <row r="108" spans="1:12">
      <c r="A108" t="s">
        <v>380</v>
      </c>
      <c r="B108" s="3">
        <v>45793</v>
      </c>
      <c r="C108">
        <v>10060</v>
      </c>
      <c r="D108" t="s">
        <v>381</v>
      </c>
      <c r="E108" t="s">
        <v>382</v>
      </c>
      <c r="F108" t="s">
        <v>32</v>
      </c>
      <c r="G108" t="s">
        <v>103</v>
      </c>
      <c r="H108" t="s">
        <v>368</v>
      </c>
      <c r="I108" t="s">
        <v>20</v>
      </c>
      <c r="J108" t="s">
        <v>383</v>
      </c>
      <c r="K108" s="3">
        <v>45798</v>
      </c>
      <c r="L108" t="s">
        <v>384</v>
      </c>
    </row>
    <row r="109" spans="1:12">
      <c r="A109" t="s">
        <v>385</v>
      </c>
      <c r="B109" s="3">
        <v>45795</v>
      </c>
      <c r="C109">
        <v>10135</v>
      </c>
      <c r="D109" t="s">
        <v>386</v>
      </c>
      <c r="E109" t="s">
        <v>387</v>
      </c>
      <c r="F109" t="s">
        <v>46</v>
      </c>
      <c r="G109" t="s">
        <v>183</v>
      </c>
      <c r="H109" t="s">
        <v>48</v>
      </c>
      <c r="I109" t="s">
        <v>20</v>
      </c>
      <c r="J109" s="4">
        <v>11669</v>
      </c>
      <c r="K109" s="3">
        <v>45821</v>
      </c>
      <c r="L109" t="s">
        <v>388</v>
      </c>
    </row>
    <row r="110" spans="1:12">
      <c r="A110" t="s">
        <v>389</v>
      </c>
      <c r="B110" s="3">
        <v>45796</v>
      </c>
      <c r="C110">
        <v>10013</v>
      </c>
      <c r="D110" t="s">
        <v>76</v>
      </c>
      <c r="E110" t="s">
        <v>390</v>
      </c>
      <c r="F110" t="s">
        <v>225</v>
      </c>
      <c r="G110" t="s">
        <v>266</v>
      </c>
      <c r="H110" t="s">
        <v>34</v>
      </c>
      <c r="I110" t="s">
        <v>20</v>
      </c>
      <c r="J110" s="4">
        <v>257</v>
      </c>
      <c r="K110" s="3">
        <v>45799</v>
      </c>
      <c r="L110" t="s">
        <v>391</v>
      </c>
    </row>
    <row r="111" spans="1:12">
      <c r="A111" t="s">
        <v>392</v>
      </c>
      <c r="B111" s="3">
        <v>45796</v>
      </c>
      <c r="D111" t="s">
        <v>322</v>
      </c>
      <c r="E111" t="s">
        <v>323</v>
      </c>
      <c r="F111" t="s">
        <v>26</v>
      </c>
      <c r="G111" t="s">
        <v>242</v>
      </c>
      <c r="H111" t="s">
        <v>34</v>
      </c>
      <c r="I111" t="s">
        <v>20</v>
      </c>
      <c r="J111" s="4">
        <v>491</v>
      </c>
      <c r="K111" s="3">
        <v>45797</v>
      </c>
    </row>
    <row r="112" spans="1:12">
      <c r="A112" t="s">
        <v>393</v>
      </c>
      <c r="B112" s="3">
        <v>45796</v>
      </c>
      <c r="C112">
        <v>10068</v>
      </c>
      <c r="D112" t="s">
        <v>250</v>
      </c>
      <c r="E112" t="s">
        <v>251</v>
      </c>
      <c r="F112" t="s">
        <v>17</v>
      </c>
      <c r="G112" t="s">
        <v>18</v>
      </c>
      <c r="H112" t="s">
        <v>28</v>
      </c>
      <c r="I112" t="s">
        <v>20</v>
      </c>
      <c r="J112" s="4">
        <v>149</v>
      </c>
      <c r="K112" s="3">
        <v>45800</v>
      </c>
      <c r="L112" t="s">
        <v>394</v>
      </c>
    </row>
    <row r="113" spans="1:12">
      <c r="A113" t="s">
        <v>395</v>
      </c>
      <c r="B113" s="3">
        <v>45796</v>
      </c>
      <c r="C113">
        <v>10129</v>
      </c>
      <c r="D113" t="s">
        <v>396</v>
      </c>
      <c r="E113" t="s">
        <v>397</v>
      </c>
      <c r="F113" t="s">
        <v>26</v>
      </c>
      <c r="G113" t="s">
        <v>108</v>
      </c>
      <c r="H113" t="s">
        <v>28</v>
      </c>
      <c r="I113" t="s">
        <v>20</v>
      </c>
      <c r="J113" s="4">
        <v>244</v>
      </c>
      <c r="K113" t="s">
        <v>398</v>
      </c>
      <c r="L113" t="s">
        <v>399</v>
      </c>
    </row>
    <row r="114" spans="1:12">
      <c r="A114" t="s">
        <v>400</v>
      </c>
      <c r="B114" s="3">
        <v>45798</v>
      </c>
      <c r="C114">
        <v>10003</v>
      </c>
      <c r="D114" t="s">
        <v>401</v>
      </c>
      <c r="E114" t="s">
        <v>402</v>
      </c>
      <c r="F114" t="s">
        <v>26</v>
      </c>
      <c r="G114" t="s">
        <v>108</v>
      </c>
      <c r="H114" t="s">
        <v>40</v>
      </c>
      <c r="I114" t="s">
        <v>20</v>
      </c>
      <c r="J114" s="4">
        <v>521</v>
      </c>
      <c r="K114" s="3">
        <v>45799</v>
      </c>
      <c r="L114" t="s">
        <v>403</v>
      </c>
    </row>
    <row r="115" spans="1:12">
      <c r="A115" t="s">
        <v>404</v>
      </c>
      <c r="B115" s="3">
        <v>45798</v>
      </c>
      <c r="C115">
        <v>10094</v>
      </c>
      <c r="D115" t="s">
        <v>216</v>
      </c>
      <c r="E115" t="s">
        <v>217</v>
      </c>
      <c r="F115" t="s">
        <v>17</v>
      </c>
      <c r="G115" t="s">
        <v>18</v>
      </c>
      <c r="H115" t="s">
        <v>28</v>
      </c>
      <c r="I115" t="s">
        <v>20</v>
      </c>
      <c r="J115" s="4">
        <v>139</v>
      </c>
      <c r="K115" s="3">
        <v>45803</v>
      </c>
      <c r="L115" t="s">
        <v>405</v>
      </c>
    </row>
    <row r="116" spans="1:12">
      <c r="A116" t="s">
        <v>406</v>
      </c>
      <c r="B116" s="3">
        <v>45799</v>
      </c>
      <c r="C116">
        <v>10027</v>
      </c>
      <c r="D116" t="s">
        <v>30</v>
      </c>
      <c r="E116" t="s">
        <v>198</v>
      </c>
      <c r="F116" t="s">
        <v>17</v>
      </c>
      <c r="G116" t="s">
        <v>78</v>
      </c>
      <c r="H116" t="s">
        <v>19</v>
      </c>
      <c r="I116" t="s">
        <v>20</v>
      </c>
      <c r="J116" s="4">
        <v>139</v>
      </c>
      <c r="K116" s="3">
        <v>45805</v>
      </c>
    </row>
    <row r="117" spans="1:12">
      <c r="A117" t="s">
        <v>407</v>
      </c>
      <c r="B117" s="3">
        <v>45799</v>
      </c>
      <c r="C117">
        <v>10027</v>
      </c>
      <c r="D117" t="s">
        <v>30</v>
      </c>
      <c r="E117" t="s">
        <v>341</v>
      </c>
      <c r="F117" t="s">
        <v>17</v>
      </c>
      <c r="G117" t="s">
        <v>119</v>
      </c>
      <c r="H117" t="s">
        <v>28</v>
      </c>
      <c r="I117" t="s">
        <v>74</v>
      </c>
      <c r="J117" s="4">
        <v>189</v>
      </c>
      <c r="K117" s="3">
        <v>45800</v>
      </c>
    </row>
    <row r="118" spans="1:12">
      <c r="A118" t="s">
        <v>408</v>
      </c>
      <c r="B118" s="3">
        <v>45800</v>
      </c>
      <c r="C118">
        <v>10099</v>
      </c>
      <c r="D118" t="s">
        <v>409</v>
      </c>
      <c r="E118" t="s">
        <v>410</v>
      </c>
      <c r="F118" t="s">
        <v>225</v>
      </c>
      <c r="G118" t="s">
        <v>266</v>
      </c>
      <c r="H118" t="s">
        <v>34</v>
      </c>
      <c r="I118" t="s">
        <v>20</v>
      </c>
      <c r="J118" s="4">
        <v>281</v>
      </c>
      <c r="K118" s="3">
        <v>45800</v>
      </c>
      <c r="L118" t="s">
        <v>411</v>
      </c>
    </row>
    <row r="119" spans="1:12">
      <c r="A119" t="s">
        <v>412</v>
      </c>
      <c r="B119" s="3">
        <v>45803</v>
      </c>
      <c r="D119" t="s">
        <v>413</v>
      </c>
      <c r="E119" t="s">
        <v>414</v>
      </c>
      <c r="F119" t="s">
        <v>51</v>
      </c>
      <c r="G119" t="s">
        <v>73</v>
      </c>
      <c r="H119" t="s">
        <v>48</v>
      </c>
      <c r="I119" t="s">
        <v>20</v>
      </c>
      <c r="J119" s="4">
        <v>9476</v>
      </c>
      <c r="K119" s="3">
        <v>45826</v>
      </c>
    </row>
    <row r="120" spans="1:12">
      <c r="A120" t="s">
        <v>415</v>
      </c>
      <c r="B120" s="3">
        <v>45803</v>
      </c>
      <c r="C120">
        <v>10126</v>
      </c>
      <c r="D120" t="s">
        <v>24</v>
      </c>
      <c r="E120" t="s">
        <v>25</v>
      </c>
      <c r="F120" t="s">
        <v>46</v>
      </c>
      <c r="G120" t="s">
        <v>183</v>
      </c>
      <c r="H120" t="s">
        <v>19</v>
      </c>
      <c r="I120" t="s">
        <v>20</v>
      </c>
      <c r="J120" s="4">
        <v>11974</v>
      </c>
      <c r="K120" s="3">
        <v>45849</v>
      </c>
      <c r="L120" t="s">
        <v>416</v>
      </c>
    </row>
    <row r="121" spans="1:12">
      <c r="A121" t="s">
        <v>417</v>
      </c>
      <c r="B121" s="3">
        <v>45807</v>
      </c>
      <c r="C121">
        <v>10002</v>
      </c>
      <c r="D121" t="s">
        <v>219</v>
      </c>
      <c r="E121" t="s">
        <v>220</v>
      </c>
      <c r="F121" t="s">
        <v>51</v>
      </c>
      <c r="G121" t="s">
        <v>73</v>
      </c>
      <c r="H121" t="s">
        <v>53</v>
      </c>
      <c r="I121" t="s">
        <v>20</v>
      </c>
      <c r="J121" s="4">
        <v>9448</v>
      </c>
      <c r="K121" s="3">
        <v>45856</v>
      </c>
      <c r="L121" t="s">
        <v>418</v>
      </c>
    </row>
    <row r="122" spans="1:12">
      <c r="D122" s="5" t="s">
        <v>419</v>
      </c>
      <c r="J122" s="6">
        <f>SUBTOTAL(9,J95:J121)</f>
        <v>116757.0</v>
      </c>
    </row>
    <row r="124" spans="1:12">
      <c r="A124" t="s">
        <v>420</v>
      </c>
      <c r="B124" s="3">
        <v>45810</v>
      </c>
      <c r="D124" t="s">
        <v>421</v>
      </c>
      <c r="E124" t="s">
        <v>422</v>
      </c>
      <c r="F124" t="s">
        <v>17</v>
      </c>
      <c r="G124" t="s">
        <v>119</v>
      </c>
      <c r="H124" t="s">
        <v>40</v>
      </c>
      <c r="I124" t="s">
        <v>20</v>
      </c>
      <c r="J124" s="4">
        <v>139</v>
      </c>
      <c r="K124" s="3">
        <v>45812</v>
      </c>
      <c r="L124" t="s">
        <v>423</v>
      </c>
    </row>
    <row r="125" spans="1:12">
      <c r="A125" t="s">
        <v>424</v>
      </c>
      <c r="B125" s="3">
        <v>45810</v>
      </c>
      <c r="C125">
        <v>10053</v>
      </c>
      <c r="D125" t="s">
        <v>425</v>
      </c>
      <c r="E125" t="s">
        <v>426</v>
      </c>
      <c r="F125" t="s">
        <v>26</v>
      </c>
      <c r="G125" t="s">
        <v>302</v>
      </c>
      <c r="H125" t="s">
        <v>34</v>
      </c>
      <c r="I125" t="s">
        <v>20</v>
      </c>
      <c r="J125" s="4">
        <v>225</v>
      </c>
      <c r="K125" s="3">
        <v>45813</v>
      </c>
      <c r="L125" t="s">
        <v>427</v>
      </c>
    </row>
    <row r="126" spans="1:12">
      <c r="A126" t="s">
        <v>428</v>
      </c>
      <c r="B126" s="3">
        <v>45811</v>
      </c>
      <c r="D126" t="s">
        <v>429</v>
      </c>
      <c r="E126" t="s">
        <v>430</v>
      </c>
      <c r="F126" t="s">
        <v>32</v>
      </c>
      <c r="G126" t="s">
        <v>68</v>
      </c>
      <c r="H126" t="s">
        <v>34</v>
      </c>
      <c r="I126" t="s">
        <v>20</v>
      </c>
      <c r="J126" s="4">
        <v>297</v>
      </c>
      <c r="K126" s="3">
        <v>45818</v>
      </c>
      <c r="L126" t="s">
        <v>431</v>
      </c>
    </row>
    <row r="127" spans="1:12">
      <c r="A127" t="s">
        <v>432</v>
      </c>
      <c r="B127" s="3">
        <v>45818</v>
      </c>
      <c r="C127">
        <v>10034</v>
      </c>
      <c r="D127" t="s">
        <v>433</v>
      </c>
      <c r="E127" t="s">
        <v>434</v>
      </c>
      <c r="F127" t="s">
        <v>32</v>
      </c>
      <c r="G127" t="s">
        <v>435</v>
      </c>
      <c r="H127" t="s">
        <v>199</v>
      </c>
      <c r="I127" t="s">
        <v>20</v>
      </c>
      <c r="J127" s="4">
        <v>362</v>
      </c>
      <c r="K127" s="3">
        <v>45821</v>
      </c>
      <c r="L127" t="s">
        <v>436</v>
      </c>
    </row>
    <row r="128" spans="1:12">
      <c r="A128" t="s">
        <v>437</v>
      </c>
      <c r="B128" s="3">
        <v>45818</v>
      </c>
      <c r="C128">
        <v>10057</v>
      </c>
      <c r="D128" t="s">
        <v>71</v>
      </c>
      <c r="E128" t="s">
        <v>72</v>
      </c>
      <c r="F128" t="s">
        <v>26</v>
      </c>
      <c r="G128" t="s">
        <v>146</v>
      </c>
      <c r="H128" t="s">
        <v>34</v>
      </c>
      <c r="I128" t="s">
        <v>20</v>
      </c>
      <c r="J128" t="s">
        <v>438</v>
      </c>
      <c r="K128" s="3">
        <v>45824</v>
      </c>
      <c r="L128" t="s">
        <v>439</v>
      </c>
    </row>
    <row r="129" spans="1:12">
      <c r="A129" t="s">
        <v>440</v>
      </c>
      <c r="B129" s="3">
        <v>45818</v>
      </c>
      <c r="C129">
        <v>10116</v>
      </c>
      <c r="D129" t="s">
        <v>441</v>
      </c>
      <c r="E129" t="s">
        <v>442</v>
      </c>
      <c r="F129" t="s">
        <v>17</v>
      </c>
      <c r="G129" t="s">
        <v>18</v>
      </c>
      <c r="H129" t="s">
        <v>34</v>
      </c>
      <c r="I129" t="s">
        <v>20</v>
      </c>
      <c r="J129" s="4">
        <v>159</v>
      </c>
      <c r="K129" s="3">
        <v>45824</v>
      </c>
      <c r="L129" t="s">
        <v>443</v>
      </c>
    </row>
    <row r="130" spans="1:12">
      <c r="A130" t="s">
        <v>444</v>
      </c>
      <c r="B130" s="3">
        <v>45824</v>
      </c>
      <c r="D130" t="s">
        <v>445</v>
      </c>
      <c r="E130" t="s">
        <v>446</v>
      </c>
      <c r="F130" t="s">
        <v>61</v>
      </c>
      <c r="G130" t="s">
        <v>62</v>
      </c>
      <c r="H130" t="s">
        <v>34</v>
      </c>
      <c r="I130" t="s">
        <v>20</v>
      </c>
      <c r="J130" s="4">
        <v>1282</v>
      </c>
      <c r="K130" s="3">
        <v>45826</v>
      </c>
    </row>
    <row r="131" spans="1:12">
      <c r="A131" t="s">
        <v>447</v>
      </c>
      <c r="B131" s="3">
        <v>45824</v>
      </c>
      <c r="C131">
        <v>10046</v>
      </c>
      <c r="D131" t="s">
        <v>194</v>
      </c>
      <c r="E131" t="s">
        <v>195</v>
      </c>
      <c r="F131" t="s">
        <v>61</v>
      </c>
      <c r="G131" t="s">
        <v>172</v>
      </c>
      <c r="H131" t="s">
        <v>19</v>
      </c>
      <c r="I131" t="s">
        <v>20</v>
      </c>
      <c r="J131" t="s">
        <v>448</v>
      </c>
      <c r="K131" s="3">
        <v>45824</v>
      </c>
      <c r="L131" t="s">
        <v>449</v>
      </c>
    </row>
    <row r="132" spans="1:12">
      <c r="A132" t="s">
        <v>450</v>
      </c>
      <c r="B132" s="3">
        <v>45824</v>
      </c>
      <c r="D132" t="s">
        <v>333</v>
      </c>
      <c r="E132" t="s">
        <v>451</v>
      </c>
      <c r="F132" t="s">
        <v>26</v>
      </c>
      <c r="G132" t="s">
        <v>39</v>
      </c>
      <c r="H132" t="s">
        <v>28</v>
      </c>
      <c r="I132" t="s">
        <v>20</v>
      </c>
      <c r="J132" s="4">
        <v>467</v>
      </c>
      <c r="K132" s="3">
        <v>45826</v>
      </c>
      <c r="L132" t="s">
        <v>452</v>
      </c>
    </row>
    <row r="133" spans="1:12">
      <c r="A133" t="s">
        <v>453</v>
      </c>
      <c r="B133" s="3">
        <v>45825</v>
      </c>
      <c r="D133" t="s">
        <v>454</v>
      </c>
      <c r="E133" t="s">
        <v>455</v>
      </c>
      <c r="F133" t="s">
        <v>32</v>
      </c>
      <c r="G133" t="s">
        <v>103</v>
      </c>
      <c r="H133" t="s">
        <v>28</v>
      </c>
      <c r="I133" t="s">
        <v>20</v>
      </c>
      <c r="J133" s="4">
        <v>332</v>
      </c>
      <c r="K133" s="3">
        <v>45827</v>
      </c>
      <c r="L133" t="s">
        <v>456</v>
      </c>
    </row>
    <row r="134" spans="1:12">
      <c r="A134" t="s">
        <v>457</v>
      </c>
      <c r="B134" s="3">
        <v>45826</v>
      </c>
      <c r="D134" t="s">
        <v>458</v>
      </c>
      <c r="E134" t="s">
        <v>265</v>
      </c>
      <c r="F134" t="s">
        <v>26</v>
      </c>
      <c r="G134" t="s">
        <v>146</v>
      </c>
      <c r="H134" t="s">
        <v>28</v>
      </c>
      <c r="I134" t="s">
        <v>74</v>
      </c>
      <c r="J134" s="4">
        <v>348</v>
      </c>
      <c r="K134" s="3">
        <v>45827</v>
      </c>
    </row>
    <row r="135" spans="1:12">
      <c r="A135" t="s">
        <v>459</v>
      </c>
      <c r="B135" s="3">
        <v>45826</v>
      </c>
      <c r="C135">
        <v>10132</v>
      </c>
      <c r="D135" t="s">
        <v>207</v>
      </c>
      <c r="E135" t="s">
        <v>208</v>
      </c>
      <c r="F135" t="s">
        <v>32</v>
      </c>
      <c r="G135" t="s">
        <v>103</v>
      </c>
      <c r="H135" t="s">
        <v>28</v>
      </c>
      <c r="I135" t="s">
        <v>20</v>
      </c>
      <c r="J135" t="s">
        <v>460</v>
      </c>
      <c r="K135" s="3">
        <v>45826</v>
      </c>
      <c r="L135" t="s">
        <v>461</v>
      </c>
    </row>
    <row r="136" spans="1:12">
      <c r="A136" t="s">
        <v>462</v>
      </c>
      <c r="B136" s="3">
        <v>45828</v>
      </c>
      <c r="C136">
        <v>10082</v>
      </c>
      <c r="D136" t="s">
        <v>66</v>
      </c>
      <c r="E136" t="s">
        <v>67</v>
      </c>
      <c r="F136" t="s">
        <v>26</v>
      </c>
      <c r="G136" t="s">
        <v>39</v>
      </c>
      <c r="H136" t="s">
        <v>28</v>
      </c>
      <c r="I136" t="s">
        <v>20</v>
      </c>
      <c r="J136" s="4">
        <v>832</v>
      </c>
      <c r="K136" s="3">
        <v>45828</v>
      </c>
      <c r="L136" t="s">
        <v>463</v>
      </c>
    </row>
    <row r="137" spans="1:12">
      <c r="A137" t="s">
        <v>464</v>
      </c>
      <c r="B137" s="3">
        <v>45831</v>
      </c>
      <c r="C137">
        <v>10008</v>
      </c>
      <c r="D137" t="s">
        <v>465</v>
      </c>
      <c r="E137" t="s">
        <v>241</v>
      </c>
      <c r="F137" t="s">
        <v>26</v>
      </c>
      <c r="G137" t="s">
        <v>146</v>
      </c>
      <c r="H137" t="s">
        <v>40</v>
      </c>
      <c r="I137" t="s">
        <v>20</v>
      </c>
      <c r="J137" s="4">
        <v>825</v>
      </c>
      <c r="K137" s="3">
        <v>45833</v>
      </c>
      <c r="L137" t="s">
        <v>466</v>
      </c>
    </row>
    <row r="138" spans="1:12">
      <c r="A138" t="s">
        <v>467</v>
      </c>
      <c r="B138" s="3">
        <v>45831</v>
      </c>
      <c r="C138">
        <v>10047</v>
      </c>
      <c r="D138" t="s">
        <v>468</v>
      </c>
      <c r="E138" t="s">
        <v>414</v>
      </c>
      <c r="F138" t="s">
        <v>51</v>
      </c>
      <c r="G138" t="s">
        <v>52</v>
      </c>
      <c r="H138" t="s">
        <v>19</v>
      </c>
      <c r="I138" t="s">
        <v>20</v>
      </c>
      <c r="J138" s="4">
        <v>13110</v>
      </c>
      <c r="K138" s="3">
        <v>45862</v>
      </c>
    </row>
    <row r="139" spans="1:12">
      <c r="A139" t="s">
        <v>469</v>
      </c>
      <c r="B139" s="3">
        <v>45831</v>
      </c>
      <c r="C139">
        <v>10066</v>
      </c>
      <c r="D139" t="s">
        <v>470</v>
      </c>
      <c r="E139" t="s">
        <v>471</v>
      </c>
      <c r="F139" t="s">
        <v>51</v>
      </c>
      <c r="G139" t="s">
        <v>52</v>
      </c>
      <c r="H139" t="s">
        <v>472</v>
      </c>
      <c r="I139" t="s">
        <v>20</v>
      </c>
      <c r="J139" s="4">
        <v>16833</v>
      </c>
      <c r="K139" s="3">
        <v>45876</v>
      </c>
      <c r="L139" t="s">
        <v>473</v>
      </c>
    </row>
    <row r="140" spans="1:12">
      <c r="A140" t="s">
        <v>474</v>
      </c>
      <c r="B140" s="3">
        <v>45831</v>
      </c>
      <c r="C140">
        <v>10094</v>
      </c>
      <c r="D140" t="s">
        <v>216</v>
      </c>
      <c r="E140" t="s">
        <v>217</v>
      </c>
      <c r="F140" t="s">
        <v>17</v>
      </c>
      <c r="G140" t="s">
        <v>119</v>
      </c>
      <c r="H140" t="s">
        <v>34</v>
      </c>
      <c r="I140" t="s">
        <v>20</v>
      </c>
      <c r="J140" s="4">
        <v>189</v>
      </c>
      <c r="K140" s="3">
        <v>45831</v>
      </c>
      <c r="L140" t="s">
        <v>475</v>
      </c>
    </row>
    <row r="141" spans="1:12">
      <c r="A141" t="s">
        <v>476</v>
      </c>
      <c r="B141" s="3">
        <v>45832</v>
      </c>
      <c r="C141">
        <v>10001</v>
      </c>
      <c r="D141" t="s">
        <v>445</v>
      </c>
      <c r="E141" t="s">
        <v>446</v>
      </c>
      <c r="F141" t="s">
        <v>225</v>
      </c>
      <c r="G141" t="s">
        <v>226</v>
      </c>
      <c r="H141" t="s">
        <v>19</v>
      </c>
      <c r="I141" t="s">
        <v>20</v>
      </c>
      <c r="J141" s="4">
        <v>388</v>
      </c>
      <c r="K141" s="3">
        <v>45834</v>
      </c>
      <c r="L141" t="s">
        <v>477</v>
      </c>
    </row>
    <row r="142" spans="1:12">
      <c r="D142" s="5" t="s">
        <v>478</v>
      </c>
      <c r="J142" s="6">
        <f>SUBTOTAL(9,J124:J141)</f>
        <v>35788.0</v>
      </c>
    </row>
    <row r="144" spans="1:12">
      <c r="A144" t="s">
        <v>479</v>
      </c>
      <c r="B144" s="3">
        <v>45839</v>
      </c>
      <c r="C144">
        <v>10008</v>
      </c>
      <c r="D144" t="s">
        <v>223</v>
      </c>
      <c r="E144" t="s">
        <v>480</v>
      </c>
      <c r="F144" t="s">
        <v>26</v>
      </c>
      <c r="G144" t="s">
        <v>146</v>
      </c>
      <c r="H144" t="s">
        <v>34</v>
      </c>
      <c r="I144" t="s">
        <v>20</v>
      </c>
      <c r="J144" s="4">
        <v>145</v>
      </c>
      <c r="K144" s="3">
        <v>45845</v>
      </c>
      <c r="L144" t="s">
        <v>481</v>
      </c>
    </row>
    <row r="145" spans="1:12">
      <c r="A145" t="s">
        <v>482</v>
      </c>
      <c r="B145" s="3">
        <v>45845</v>
      </c>
      <c r="C145">
        <v>10003</v>
      </c>
      <c r="D145" t="s">
        <v>483</v>
      </c>
      <c r="E145" t="s">
        <v>402</v>
      </c>
      <c r="F145" t="s">
        <v>17</v>
      </c>
      <c r="G145" t="s">
        <v>88</v>
      </c>
      <c r="H145" t="s">
        <v>28</v>
      </c>
      <c r="I145" t="s">
        <v>20</v>
      </c>
      <c r="J145" s="4">
        <v>159</v>
      </c>
      <c r="K145" s="3">
        <v>45847</v>
      </c>
      <c r="L145" t="s">
        <v>484</v>
      </c>
    </row>
    <row r="146" spans="1:12">
      <c r="A146" t="s">
        <v>485</v>
      </c>
      <c r="B146" s="3">
        <v>45846</v>
      </c>
      <c r="C146">
        <v>10107</v>
      </c>
      <c r="D146" t="s">
        <v>486</v>
      </c>
      <c r="E146" t="s">
        <v>45</v>
      </c>
      <c r="F146" t="s">
        <v>51</v>
      </c>
      <c r="G146" t="s">
        <v>151</v>
      </c>
      <c r="H146" t="s">
        <v>48</v>
      </c>
      <c r="I146" t="s">
        <v>20</v>
      </c>
      <c r="J146" s="4">
        <v>12321</v>
      </c>
      <c r="K146" s="3">
        <v>45895</v>
      </c>
      <c r="L146" t="s">
        <v>487</v>
      </c>
    </row>
    <row r="147" spans="1:12">
      <c r="A147" t="s">
        <v>488</v>
      </c>
      <c r="B147" s="3">
        <v>45846</v>
      </c>
      <c r="D147" t="s">
        <v>489</v>
      </c>
      <c r="E147" t="s">
        <v>397</v>
      </c>
      <c r="F147" t="s">
        <v>32</v>
      </c>
      <c r="G147" t="s">
        <v>435</v>
      </c>
      <c r="H147" t="s">
        <v>19</v>
      </c>
      <c r="I147" t="s">
        <v>20</v>
      </c>
      <c r="J147" s="4">
        <v>239</v>
      </c>
      <c r="K147" s="3">
        <v>45846</v>
      </c>
    </row>
    <row r="148" spans="1:12">
      <c r="A148" t="s">
        <v>490</v>
      </c>
      <c r="B148" s="3">
        <v>45847</v>
      </c>
      <c r="C148">
        <v>10059</v>
      </c>
      <c r="D148" t="s">
        <v>491</v>
      </c>
      <c r="E148" t="s">
        <v>492</v>
      </c>
      <c r="F148" t="s">
        <v>17</v>
      </c>
      <c r="G148" t="s">
        <v>119</v>
      </c>
      <c r="H148" t="s">
        <v>28</v>
      </c>
      <c r="I148" t="s">
        <v>20</v>
      </c>
      <c r="J148" s="4">
        <v>139</v>
      </c>
      <c r="K148" s="3">
        <v>45848</v>
      </c>
      <c r="L148" t="s">
        <v>493</v>
      </c>
    </row>
    <row r="149" spans="1:12">
      <c r="A149" t="s">
        <v>494</v>
      </c>
      <c r="B149" s="3">
        <v>45853</v>
      </c>
      <c r="C149">
        <v>10041</v>
      </c>
      <c r="D149" t="s">
        <v>495</v>
      </c>
      <c r="E149" t="s">
        <v>118</v>
      </c>
      <c r="F149" t="s">
        <v>61</v>
      </c>
      <c r="G149" t="s">
        <v>62</v>
      </c>
      <c r="H149" t="s">
        <v>28</v>
      </c>
      <c r="I149" t="s">
        <v>20</v>
      </c>
      <c r="J149" s="4">
        <v>1089</v>
      </c>
      <c r="K149" s="3">
        <v>45854</v>
      </c>
      <c r="L149" t="s">
        <v>496</v>
      </c>
    </row>
    <row r="150" spans="1:12">
      <c r="A150" t="s">
        <v>497</v>
      </c>
      <c r="B150" s="3">
        <v>45853</v>
      </c>
      <c r="C150">
        <v>10054</v>
      </c>
      <c r="D150" t="s">
        <v>498</v>
      </c>
      <c r="E150" t="s">
        <v>499</v>
      </c>
      <c r="F150" t="s">
        <v>46</v>
      </c>
      <c r="G150" t="s">
        <v>183</v>
      </c>
      <c r="H150" t="s">
        <v>48</v>
      </c>
      <c r="I150" t="s">
        <v>20</v>
      </c>
      <c r="J150" s="4">
        <v>24146</v>
      </c>
      <c r="K150" s="3">
        <v>45902</v>
      </c>
      <c r="L150" t="s">
        <v>500</v>
      </c>
    </row>
    <row r="151" spans="1:12">
      <c r="A151" t="s">
        <v>501</v>
      </c>
      <c r="B151" s="3">
        <v>45853</v>
      </c>
      <c r="C151">
        <v>10073</v>
      </c>
      <c r="D151" t="s">
        <v>502</v>
      </c>
      <c r="E151" t="s">
        <v>503</v>
      </c>
      <c r="F151" t="s">
        <v>46</v>
      </c>
      <c r="G151" t="s">
        <v>47</v>
      </c>
      <c r="H151" t="s">
        <v>53</v>
      </c>
      <c r="I151" t="s">
        <v>74</v>
      </c>
      <c r="J151" s="4">
        <v>19942</v>
      </c>
      <c r="K151" s="3">
        <v>45875</v>
      </c>
    </row>
    <row r="152" spans="1:12">
      <c r="A152" t="s">
        <v>504</v>
      </c>
      <c r="B152" s="3">
        <v>45853</v>
      </c>
      <c r="C152">
        <v>10136</v>
      </c>
      <c r="D152" t="s">
        <v>505</v>
      </c>
      <c r="E152" t="s">
        <v>506</v>
      </c>
      <c r="F152" t="s">
        <v>292</v>
      </c>
      <c r="G152" t="s">
        <v>293</v>
      </c>
      <c r="H152" t="s">
        <v>40</v>
      </c>
      <c r="I152" t="s">
        <v>20</v>
      </c>
      <c r="J152" s="4">
        <v>601</v>
      </c>
      <c r="K152" s="3">
        <v>45854</v>
      </c>
      <c r="L152" t="s">
        <v>507</v>
      </c>
    </row>
    <row r="153" spans="1:12">
      <c r="A153" t="s">
        <v>508</v>
      </c>
      <c r="B153" s="3">
        <v>45856</v>
      </c>
      <c r="C153">
        <v>10041</v>
      </c>
      <c r="D153" t="s">
        <v>117</v>
      </c>
      <c r="E153" t="s">
        <v>118</v>
      </c>
      <c r="F153" t="s">
        <v>17</v>
      </c>
      <c r="G153" t="s">
        <v>119</v>
      </c>
      <c r="H153" t="s">
        <v>28</v>
      </c>
      <c r="I153" t="s">
        <v>20</v>
      </c>
      <c r="J153" t="s">
        <v>21</v>
      </c>
      <c r="K153" s="3">
        <v>45856</v>
      </c>
    </row>
    <row r="154" spans="1:12">
      <c r="A154" t="s">
        <v>509</v>
      </c>
      <c r="B154" s="3">
        <v>45856</v>
      </c>
      <c r="C154">
        <v>10089</v>
      </c>
      <c r="D154" t="s">
        <v>510</v>
      </c>
      <c r="E154" t="s">
        <v>511</v>
      </c>
      <c r="F154" t="s">
        <v>46</v>
      </c>
      <c r="G154" t="s">
        <v>512</v>
      </c>
      <c r="H154" t="s">
        <v>53</v>
      </c>
      <c r="I154" t="s">
        <v>20</v>
      </c>
      <c r="J154" s="4">
        <v>11010</v>
      </c>
      <c r="K154" s="3">
        <v>45882</v>
      </c>
      <c r="L154" t="s">
        <v>513</v>
      </c>
    </row>
    <row r="155" spans="1:12">
      <c r="A155" t="s">
        <v>514</v>
      </c>
      <c r="B155" s="3">
        <v>45856</v>
      </c>
      <c r="C155">
        <v>10112</v>
      </c>
      <c r="D155" t="s">
        <v>515</v>
      </c>
      <c r="E155" t="s">
        <v>516</v>
      </c>
      <c r="F155" t="s">
        <v>61</v>
      </c>
      <c r="G155" t="s">
        <v>62</v>
      </c>
      <c r="H155" t="s">
        <v>28</v>
      </c>
      <c r="I155" t="s">
        <v>20</v>
      </c>
      <c r="J155" s="4">
        <v>1180</v>
      </c>
      <c r="K155" s="3">
        <v>45860</v>
      </c>
      <c r="L155" t="s">
        <v>517</v>
      </c>
    </row>
    <row r="156" spans="1:12">
      <c r="A156" t="s">
        <v>518</v>
      </c>
      <c r="B156" s="3">
        <v>45859</v>
      </c>
      <c r="C156">
        <v>10037</v>
      </c>
      <c r="D156" t="s">
        <v>519</v>
      </c>
      <c r="E156" t="s">
        <v>520</v>
      </c>
      <c r="F156" t="s">
        <v>61</v>
      </c>
      <c r="G156" t="s">
        <v>62</v>
      </c>
      <c r="H156" t="s">
        <v>28</v>
      </c>
      <c r="I156" t="s">
        <v>74</v>
      </c>
      <c r="J156" s="4">
        <v>867</v>
      </c>
      <c r="K156" s="3">
        <v>45861</v>
      </c>
    </row>
    <row r="157" spans="1:12">
      <c r="A157" t="s">
        <v>521</v>
      </c>
      <c r="B157" s="3">
        <v>45859</v>
      </c>
      <c r="D157" t="s">
        <v>522</v>
      </c>
      <c r="E157" t="s">
        <v>265</v>
      </c>
      <c r="F157" t="s">
        <v>32</v>
      </c>
      <c r="G157" t="s">
        <v>68</v>
      </c>
      <c r="H157" t="s">
        <v>28</v>
      </c>
      <c r="I157" t="s">
        <v>20</v>
      </c>
      <c r="J157" s="4">
        <v>467</v>
      </c>
      <c r="K157" s="3">
        <v>45859</v>
      </c>
      <c r="L157" t="s">
        <v>523</v>
      </c>
    </row>
    <row r="158" spans="1:12">
      <c r="A158" t="s">
        <v>524</v>
      </c>
      <c r="B158" s="3">
        <v>45859</v>
      </c>
      <c r="C158">
        <v>10056</v>
      </c>
      <c r="D158" t="s">
        <v>333</v>
      </c>
      <c r="E158" t="s">
        <v>525</v>
      </c>
      <c r="F158" t="s">
        <v>292</v>
      </c>
      <c r="G158" t="s">
        <v>526</v>
      </c>
      <c r="H158" t="s">
        <v>28</v>
      </c>
      <c r="I158" t="s">
        <v>20</v>
      </c>
      <c r="J158" t="s">
        <v>527</v>
      </c>
      <c r="K158" s="3">
        <v>45862</v>
      </c>
      <c r="L158" t="s">
        <v>528</v>
      </c>
    </row>
    <row r="159" spans="1:12">
      <c r="A159" t="s">
        <v>529</v>
      </c>
      <c r="B159" s="3">
        <v>45859</v>
      </c>
      <c r="D159" t="s">
        <v>163</v>
      </c>
      <c r="E159" t="s">
        <v>164</v>
      </c>
      <c r="F159" t="s">
        <v>17</v>
      </c>
      <c r="G159" t="s">
        <v>78</v>
      </c>
      <c r="H159" t="s">
        <v>28</v>
      </c>
      <c r="I159" t="s">
        <v>20</v>
      </c>
      <c r="J159" s="4">
        <v>139</v>
      </c>
      <c r="K159" s="3">
        <v>45859</v>
      </c>
      <c r="L159" t="s">
        <v>530</v>
      </c>
    </row>
    <row r="160" spans="1:12">
      <c r="A160" t="s">
        <v>531</v>
      </c>
      <c r="B160" s="3">
        <v>45859</v>
      </c>
      <c r="C160">
        <v>10130</v>
      </c>
      <c r="D160" t="s">
        <v>532</v>
      </c>
      <c r="E160" t="s">
        <v>533</v>
      </c>
      <c r="F160" t="s">
        <v>51</v>
      </c>
      <c r="G160" t="s">
        <v>73</v>
      </c>
      <c r="H160" t="s">
        <v>53</v>
      </c>
      <c r="I160" t="s">
        <v>20</v>
      </c>
      <c r="J160" s="4">
        <v>12526</v>
      </c>
      <c r="K160" s="3">
        <v>45895</v>
      </c>
      <c r="L160" t="s">
        <v>534</v>
      </c>
    </row>
    <row r="161" spans="1:12">
      <c r="A161" t="s">
        <v>535</v>
      </c>
      <c r="B161" s="3">
        <v>45861</v>
      </c>
      <c r="C161">
        <v>10018</v>
      </c>
      <c r="D161" t="s">
        <v>536</v>
      </c>
      <c r="E161" t="s">
        <v>537</v>
      </c>
      <c r="F161" t="s">
        <v>51</v>
      </c>
      <c r="G161" t="s">
        <v>151</v>
      </c>
      <c r="H161" t="s">
        <v>19</v>
      </c>
      <c r="I161" t="s">
        <v>20</v>
      </c>
      <c r="J161" t="s">
        <v>538</v>
      </c>
      <c r="K161" s="3">
        <v>45896</v>
      </c>
      <c r="L161" t="s">
        <v>539</v>
      </c>
    </row>
    <row r="162" spans="1:12">
      <c r="A162" t="s">
        <v>540</v>
      </c>
      <c r="B162" s="3">
        <v>45866</v>
      </c>
      <c r="C162">
        <v>10012</v>
      </c>
      <c r="D162" t="s">
        <v>541</v>
      </c>
      <c r="E162" t="s">
        <v>542</v>
      </c>
      <c r="F162" t="s">
        <v>46</v>
      </c>
      <c r="G162" t="s">
        <v>183</v>
      </c>
      <c r="H162" t="s">
        <v>19</v>
      </c>
      <c r="I162" t="s">
        <v>20</v>
      </c>
      <c r="J162" s="4">
        <v>21512</v>
      </c>
      <c r="K162" s="3">
        <v>45889</v>
      </c>
      <c r="L162" t="s">
        <v>543</v>
      </c>
    </row>
    <row r="163" spans="1:12">
      <c r="A163" t="s">
        <v>544</v>
      </c>
      <c r="B163" s="3">
        <v>45866</v>
      </c>
      <c r="C163">
        <v>10013</v>
      </c>
      <c r="D163" t="s">
        <v>76</v>
      </c>
      <c r="E163" t="s">
        <v>545</v>
      </c>
      <c r="F163" t="s">
        <v>61</v>
      </c>
      <c r="G163" t="s">
        <v>84</v>
      </c>
      <c r="H163" t="s">
        <v>19</v>
      </c>
      <c r="I163" t="s">
        <v>20</v>
      </c>
      <c r="J163" s="4">
        <v>1079</v>
      </c>
      <c r="K163" s="3">
        <v>45868</v>
      </c>
      <c r="L163" t="s">
        <v>546</v>
      </c>
    </row>
    <row r="164" spans="1:12">
      <c r="A164" t="s">
        <v>547</v>
      </c>
      <c r="B164" s="3">
        <v>45866</v>
      </c>
      <c r="C164">
        <v>10073</v>
      </c>
      <c r="D164" t="s">
        <v>502</v>
      </c>
      <c r="E164" t="s">
        <v>503</v>
      </c>
      <c r="F164" t="s">
        <v>292</v>
      </c>
      <c r="G164" t="s">
        <v>293</v>
      </c>
      <c r="H164" t="s">
        <v>28</v>
      </c>
      <c r="I164" t="s">
        <v>20</v>
      </c>
      <c r="J164" s="4">
        <v>1154</v>
      </c>
      <c r="K164" s="3">
        <v>45870</v>
      </c>
      <c r="L164" t="s">
        <v>548</v>
      </c>
    </row>
    <row r="165" spans="1:12">
      <c r="A165" t="s">
        <v>549</v>
      </c>
      <c r="B165" s="3">
        <v>45866</v>
      </c>
      <c r="C165">
        <v>10110</v>
      </c>
      <c r="D165" t="s">
        <v>288</v>
      </c>
      <c r="E165" t="s">
        <v>289</v>
      </c>
      <c r="F165" t="s">
        <v>61</v>
      </c>
      <c r="G165" t="s">
        <v>172</v>
      </c>
      <c r="H165" t="s">
        <v>19</v>
      </c>
      <c r="I165" t="s">
        <v>20</v>
      </c>
      <c r="J165" s="4">
        <v>1605</v>
      </c>
      <c r="K165" s="3">
        <v>45869</v>
      </c>
      <c r="L165" t="s">
        <v>550</v>
      </c>
    </row>
    <row r="166" spans="1:12">
      <c r="A166" t="s">
        <v>551</v>
      </c>
      <c r="B166" s="3">
        <v>45867</v>
      </c>
      <c r="C166">
        <v>10122</v>
      </c>
      <c r="D166" t="s">
        <v>552</v>
      </c>
      <c r="E166" t="s">
        <v>553</v>
      </c>
      <c r="F166" t="s">
        <v>46</v>
      </c>
      <c r="G166" t="s">
        <v>183</v>
      </c>
      <c r="H166" t="s">
        <v>48</v>
      </c>
      <c r="I166" t="s">
        <v>20</v>
      </c>
      <c r="J166" s="4">
        <v>12555</v>
      </c>
      <c r="K166" s="3">
        <v>45901</v>
      </c>
    </row>
    <row r="167" spans="1:12">
      <c r="D167" s="5" t="s">
        <v>554</v>
      </c>
      <c r="J167" s="6">
        <f>SUBTOTAL(9,J144:J166)</f>
        <v>122875.0</v>
      </c>
    </row>
    <row r="169" spans="1:12">
      <c r="A169" t="s">
        <v>555</v>
      </c>
      <c r="B169" s="3">
        <v>45873</v>
      </c>
      <c r="C169">
        <v>10008</v>
      </c>
      <c r="D169" t="s">
        <v>556</v>
      </c>
      <c r="E169" t="s">
        <v>281</v>
      </c>
      <c r="F169" t="s">
        <v>61</v>
      </c>
      <c r="G169" t="s">
        <v>62</v>
      </c>
      <c r="H169" t="s">
        <v>28</v>
      </c>
      <c r="I169" t="s">
        <v>20</v>
      </c>
      <c r="J169" s="4">
        <v>1469</v>
      </c>
      <c r="K169" s="3">
        <v>45876</v>
      </c>
      <c r="L169" t="s">
        <v>557</v>
      </c>
    </row>
    <row r="170" spans="1:12">
      <c r="A170" t="s">
        <v>558</v>
      </c>
      <c r="B170" s="3">
        <v>45873</v>
      </c>
      <c r="C170">
        <v>10032</v>
      </c>
      <c r="D170" t="s">
        <v>559</v>
      </c>
      <c r="E170" t="s">
        <v>246</v>
      </c>
      <c r="F170" t="s">
        <v>61</v>
      </c>
      <c r="G170" t="s">
        <v>84</v>
      </c>
      <c r="H170" t="s">
        <v>19</v>
      </c>
      <c r="I170" t="s">
        <v>20</v>
      </c>
      <c r="J170" s="4">
        <v>449</v>
      </c>
      <c r="K170" s="3">
        <v>45873</v>
      </c>
      <c r="L170" t="s">
        <v>560</v>
      </c>
    </row>
    <row r="171" spans="1:12">
      <c r="A171" t="s">
        <v>561</v>
      </c>
      <c r="B171" s="3">
        <v>45873</v>
      </c>
      <c r="C171">
        <v>10070</v>
      </c>
      <c r="D171" t="s">
        <v>82</v>
      </c>
      <c r="E171" t="s">
        <v>83</v>
      </c>
      <c r="F171" t="s">
        <v>26</v>
      </c>
      <c r="G171" t="s">
        <v>39</v>
      </c>
      <c r="H171" t="s">
        <v>34</v>
      </c>
      <c r="I171" t="s">
        <v>20</v>
      </c>
      <c r="J171" s="4">
        <v>606</v>
      </c>
      <c r="K171" s="3">
        <v>45875</v>
      </c>
    </row>
    <row r="172" spans="1:12">
      <c r="A172" t="s">
        <v>562</v>
      </c>
      <c r="B172" s="3">
        <v>45873</v>
      </c>
      <c r="D172" t="s">
        <v>319</v>
      </c>
      <c r="E172" t="s">
        <v>320</v>
      </c>
      <c r="F172" t="s">
        <v>17</v>
      </c>
      <c r="G172" t="s">
        <v>88</v>
      </c>
      <c r="H172" t="s">
        <v>34</v>
      </c>
      <c r="I172" t="s">
        <v>20</v>
      </c>
      <c r="J172" s="4">
        <v>139</v>
      </c>
      <c r="K172" s="3">
        <v>45875</v>
      </c>
    </row>
    <row r="173" spans="1:12">
      <c r="A173" t="s">
        <v>563</v>
      </c>
      <c r="B173" s="3">
        <v>45876</v>
      </c>
      <c r="C173">
        <v>10065</v>
      </c>
      <c r="D173" t="s">
        <v>564</v>
      </c>
      <c r="E173" t="s">
        <v>565</v>
      </c>
      <c r="F173" t="s">
        <v>61</v>
      </c>
      <c r="G173" t="s">
        <v>181</v>
      </c>
      <c r="H173" t="s">
        <v>40</v>
      </c>
      <c r="I173" t="s">
        <v>20</v>
      </c>
      <c r="J173" s="4">
        <v>1545</v>
      </c>
      <c r="K173" s="3">
        <v>45881</v>
      </c>
    </row>
    <row r="174" spans="1:12">
      <c r="A174" t="s">
        <v>566</v>
      </c>
      <c r="B174" s="3">
        <v>45880</v>
      </c>
      <c r="C174">
        <v>10104</v>
      </c>
      <c r="D174" t="s">
        <v>170</v>
      </c>
      <c r="E174" t="s">
        <v>171</v>
      </c>
      <c r="F174" t="s">
        <v>17</v>
      </c>
      <c r="G174" t="s">
        <v>88</v>
      </c>
      <c r="H174" t="s">
        <v>40</v>
      </c>
      <c r="I174" t="s">
        <v>20</v>
      </c>
      <c r="J174" s="4">
        <v>189</v>
      </c>
      <c r="K174" s="3">
        <v>45884</v>
      </c>
      <c r="L174" t="s">
        <v>567</v>
      </c>
    </row>
    <row r="175" spans="1:12">
      <c r="A175" t="s">
        <v>568</v>
      </c>
      <c r="B175" s="3">
        <v>45881</v>
      </c>
      <c r="C175">
        <v>10108</v>
      </c>
      <c r="D175" t="s">
        <v>309</v>
      </c>
      <c r="E175" t="s">
        <v>310</v>
      </c>
      <c r="F175" t="s">
        <v>46</v>
      </c>
      <c r="G175" t="s">
        <v>47</v>
      </c>
      <c r="H175" t="s">
        <v>48</v>
      </c>
      <c r="I175" t="s">
        <v>20</v>
      </c>
      <c r="J175" s="4">
        <v>10411</v>
      </c>
      <c r="K175" s="3">
        <v>45924</v>
      </c>
      <c r="L175" t="s">
        <v>569</v>
      </c>
    </row>
    <row r="176" spans="1:12">
      <c r="A176" t="s">
        <v>570</v>
      </c>
      <c r="B176" s="3">
        <v>45882</v>
      </c>
      <c r="C176">
        <v>10050</v>
      </c>
      <c r="D176" t="s">
        <v>37</v>
      </c>
      <c r="E176" t="s">
        <v>571</v>
      </c>
      <c r="F176" t="s">
        <v>225</v>
      </c>
      <c r="G176" t="s">
        <v>266</v>
      </c>
      <c r="H176" t="s">
        <v>40</v>
      </c>
      <c r="I176" t="s">
        <v>20</v>
      </c>
      <c r="J176" s="4">
        <v>411</v>
      </c>
      <c r="K176" s="3">
        <v>45887</v>
      </c>
    </row>
    <row r="177" spans="1:12">
      <c r="A177" t="s">
        <v>572</v>
      </c>
      <c r="B177" s="3">
        <v>45887</v>
      </c>
      <c r="D177" t="s">
        <v>573</v>
      </c>
      <c r="E177" t="s">
        <v>574</v>
      </c>
      <c r="F177" t="s">
        <v>17</v>
      </c>
      <c r="G177" t="s">
        <v>119</v>
      </c>
      <c r="H177" t="s">
        <v>28</v>
      </c>
      <c r="I177" t="s">
        <v>20</v>
      </c>
      <c r="J177" t="s">
        <v>21</v>
      </c>
      <c r="K177" s="3">
        <v>45888</v>
      </c>
      <c r="L177" t="s">
        <v>575</v>
      </c>
    </row>
    <row r="178" spans="1:12">
      <c r="A178" t="s">
        <v>576</v>
      </c>
      <c r="B178" s="3">
        <v>45888</v>
      </c>
      <c r="C178">
        <v>10061</v>
      </c>
      <c r="D178" t="s">
        <v>258</v>
      </c>
      <c r="E178" t="s">
        <v>259</v>
      </c>
      <c r="F178" t="s">
        <v>26</v>
      </c>
      <c r="G178" t="s">
        <v>188</v>
      </c>
      <c r="H178" t="s">
        <v>19</v>
      </c>
      <c r="I178" t="s">
        <v>20</v>
      </c>
      <c r="J178" s="4">
        <v>850</v>
      </c>
      <c r="K178" s="3">
        <v>45891</v>
      </c>
      <c r="L178" t="s">
        <v>577</v>
      </c>
    </row>
    <row r="179" spans="1:12">
      <c r="A179" t="s">
        <v>578</v>
      </c>
      <c r="B179" s="3">
        <v>45889</v>
      </c>
      <c r="C179">
        <v>10027</v>
      </c>
      <c r="D179" t="s">
        <v>30</v>
      </c>
      <c r="E179" t="s">
        <v>579</v>
      </c>
      <c r="F179" t="s">
        <v>225</v>
      </c>
      <c r="G179" t="s">
        <v>266</v>
      </c>
      <c r="H179" t="s">
        <v>40</v>
      </c>
      <c r="I179" t="s">
        <v>20</v>
      </c>
      <c r="J179" s="4">
        <v>320</v>
      </c>
      <c r="K179" s="3">
        <v>45890</v>
      </c>
      <c r="L179" t="s">
        <v>580</v>
      </c>
    </row>
    <row r="180" spans="1:12">
      <c r="A180" t="s">
        <v>581</v>
      </c>
      <c r="B180" s="3">
        <v>45891</v>
      </c>
      <c r="C180">
        <v>10056</v>
      </c>
      <c r="D180" t="s">
        <v>333</v>
      </c>
      <c r="E180" t="s">
        <v>582</v>
      </c>
      <c r="F180" t="s">
        <v>26</v>
      </c>
      <c r="G180" t="s">
        <v>146</v>
      </c>
      <c r="H180" t="s">
        <v>19</v>
      </c>
      <c r="I180" t="s">
        <v>20</v>
      </c>
      <c r="J180" s="4">
        <v>738</v>
      </c>
      <c r="K180" s="3">
        <v>45896</v>
      </c>
      <c r="L180" t="s">
        <v>583</v>
      </c>
    </row>
    <row r="181" spans="1:12">
      <c r="A181" t="s">
        <v>584</v>
      </c>
      <c r="B181" s="3">
        <v>45894</v>
      </c>
      <c r="C181">
        <v>10050</v>
      </c>
      <c r="D181" t="s">
        <v>37</v>
      </c>
      <c r="E181" t="s">
        <v>111</v>
      </c>
      <c r="F181" t="s">
        <v>225</v>
      </c>
      <c r="G181" t="s">
        <v>226</v>
      </c>
      <c r="H181" t="s">
        <v>40</v>
      </c>
      <c r="I181" t="s">
        <v>20</v>
      </c>
      <c r="J181" s="4">
        <v>446</v>
      </c>
      <c r="K181" s="3">
        <v>45895</v>
      </c>
      <c r="L181" t="s">
        <v>585</v>
      </c>
    </row>
    <row r="182" spans="1:12">
      <c r="A182" t="s">
        <v>586</v>
      </c>
      <c r="B182" s="3">
        <v>45895</v>
      </c>
      <c r="D182" t="s">
        <v>587</v>
      </c>
      <c r="E182" t="s">
        <v>588</v>
      </c>
      <c r="F182" t="s">
        <v>61</v>
      </c>
      <c r="G182" t="s">
        <v>62</v>
      </c>
      <c r="H182" t="s">
        <v>40</v>
      </c>
      <c r="I182" t="s">
        <v>20</v>
      </c>
      <c r="J182" s="4">
        <v>1173</v>
      </c>
      <c r="K182" s="3">
        <v>45896</v>
      </c>
    </row>
    <row r="183" spans="1:12">
      <c r="A183" t="s">
        <v>589</v>
      </c>
      <c r="B183" s="3">
        <v>45898</v>
      </c>
      <c r="C183">
        <v>10116</v>
      </c>
      <c r="D183" t="s">
        <v>441</v>
      </c>
      <c r="E183" t="s">
        <v>442</v>
      </c>
      <c r="F183" t="s">
        <v>292</v>
      </c>
      <c r="G183" t="s">
        <v>293</v>
      </c>
      <c r="H183" t="s">
        <v>28</v>
      </c>
      <c r="I183" t="s">
        <v>20</v>
      </c>
      <c r="J183" t="s">
        <v>590</v>
      </c>
      <c r="K183" s="3">
        <v>45901</v>
      </c>
      <c r="L183" t="s">
        <v>591</v>
      </c>
    </row>
    <row r="184" spans="1:12">
      <c r="D184" s="5" t="s">
        <v>592</v>
      </c>
      <c r="J184" s="6">
        <f>SUBTOTAL(9,J169:J183)</f>
        <v>18746.0</v>
      </c>
    </row>
    <row r="186" spans="1:12">
      <c r="A186" t="s">
        <v>593</v>
      </c>
      <c r="B186" s="3">
        <v>45901</v>
      </c>
      <c r="C186">
        <v>10005</v>
      </c>
      <c r="D186" t="s">
        <v>594</v>
      </c>
      <c r="E186" t="s">
        <v>595</v>
      </c>
      <c r="F186" t="s">
        <v>225</v>
      </c>
      <c r="G186" t="s">
        <v>297</v>
      </c>
      <c r="H186" t="s">
        <v>19</v>
      </c>
      <c r="I186" t="s">
        <v>20</v>
      </c>
      <c r="J186" s="4">
        <v>463</v>
      </c>
      <c r="K186" s="3">
        <v>45901</v>
      </c>
    </row>
    <row r="187" spans="1:12">
      <c r="A187" t="s">
        <v>596</v>
      </c>
      <c r="B187" s="3">
        <v>45904</v>
      </c>
      <c r="C187">
        <v>10135</v>
      </c>
      <c r="D187" t="s">
        <v>597</v>
      </c>
      <c r="E187" t="s">
        <v>387</v>
      </c>
      <c r="F187" t="s">
        <v>61</v>
      </c>
      <c r="G187" t="s">
        <v>124</v>
      </c>
      <c r="H187" t="s">
        <v>40</v>
      </c>
      <c r="I187" t="s">
        <v>20</v>
      </c>
      <c r="J187" s="4">
        <v>391</v>
      </c>
      <c r="K187" s="3">
        <v>45908</v>
      </c>
      <c r="L187" t="s">
        <v>598</v>
      </c>
    </row>
    <row r="188" spans="1:12">
      <c r="A188" t="s">
        <v>599</v>
      </c>
      <c r="B188" s="3">
        <v>45908</v>
      </c>
      <c r="D188" t="s">
        <v>600</v>
      </c>
      <c r="E188" t="s">
        <v>601</v>
      </c>
      <c r="F188" t="s">
        <v>61</v>
      </c>
      <c r="G188" t="s">
        <v>172</v>
      </c>
      <c r="H188" t="s">
        <v>28</v>
      </c>
      <c r="I188" t="s">
        <v>20</v>
      </c>
      <c r="J188" t="s">
        <v>602</v>
      </c>
      <c r="K188" s="3">
        <v>45910</v>
      </c>
    </row>
    <row r="189" spans="1:12">
      <c r="A189" t="s">
        <v>603</v>
      </c>
      <c r="B189" s="3">
        <v>45908</v>
      </c>
      <c r="D189" t="s">
        <v>207</v>
      </c>
      <c r="E189" t="s">
        <v>208</v>
      </c>
      <c r="F189" t="s">
        <v>51</v>
      </c>
      <c r="G189" t="s">
        <v>52</v>
      </c>
      <c r="H189" t="s">
        <v>604</v>
      </c>
      <c r="I189" t="s">
        <v>20</v>
      </c>
      <c r="J189" s="4">
        <v>12308</v>
      </c>
      <c r="K189" s="3">
        <v>45945</v>
      </c>
      <c r="L189" t="s">
        <v>605</v>
      </c>
    </row>
    <row r="190" spans="1:12">
      <c r="A190" t="s">
        <v>606</v>
      </c>
      <c r="B190" s="3">
        <v>45909</v>
      </c>
      <c r="D190" t="s">
        <v>371</v>
      </c>
      <c r="E190" t="s">
        <v>285</v>
      </c>
      <c r="F190" t="s">
        <v>17</v>
      </c>
      <c r="G190" t="s">
        <v>88</v>
      </c>
      <c r="H190" t="s">
        <v>19</v>
      </c>
      <c r="I190" t="s">
        <v>20</v>
      </c>
      <c r="J190" s="4">
        <v>139</v>
      </c>
      <c r="K190" s="3">
        <v>45912</v>
      </c>
      <c r="L190" t="s">
        <v>607</v>
      </c>
    </row>
    <row r="191" spans="1:12">
      <c r="A191" t="s">
        <v>608</v>
      </c>
      <c r="B191" s="3">
        <v>45911</v>
      </c>
      <c r="C191">
        <v>10090</v>
      </c>
      <c r="D191" t="s">
        <v>609</v>
      </c>
      <c r="E191" t="s">
        <v>610</v>
      </c>
      <c r="F191" t="s">
        <v>17</v>
      </c>
      <c r="G191" t="s">
        <v>18</v>
      </c>
      <c r="H191" t="s">
        <v>28</v>
      </c>
      <c r="I191" t="s">
        <v>20</v>
      </c>
      <c r="J191" s="4">
        <v>139</v>
      </c>
      <c r="K191" s="3">
        <v>45916</v>
      </c>
      <c r="L191" t="s">
        <v>611</v>
      </c>
    </row>
    <row r="192" spans="1:12">
      <c r="A192" t="s">
        <v>612</v>
      </c>
      <c r="B192" s="3">
        <v>45911</v>
      </c>
      <c r="C192">
        <v>10090</v>
      </c>
      <c r="D192" t="s">
        <v>609</v>
      </c>
      <c r="E192" t="s">
        <v>610</v>
      </c>
      <c r="F192" t="s">
        <v>51</v>
      </c>
      <c r="G192" t="s">
        <v>73</v>
      </c>
      <c r="H192" t="s">
        <v>604</v>
      </c>
      <c r="I192" t="s">
        <v>20</v>
      </c>
      <c r="J192" s="4">
        <v>10753</v>
      </c>
      <c r="K192" s="3">
        <v>45946</v>
      </c>
      <c r="L192" t="s">
        <v>613</v>
      </c>
    </row>
    <row r="193" spans="1:12">
      <c r="A193" t="s">
        <v>614</v>
      </c>
      <c r="B193" s="3">
        <v>45915</v>
      </c>
      <c r="D193" t="s">
        <v>76</v>
      </c>
      <c r="E193" t="s">
        <v>230</v>
      </c>
      <c r="F193" t="s">
        <v>17</v>
      </c>
      <c r="G193" t="s">
        <v>18</v>
      </c>
      <c r="H193" t="s">
        <v>28</v>
      </c>
      <c r="I193" t="s">
        <v>20</v>
      </c>
      <c r="J193" t="s">
        <v>361</v>
      </c>
      <c r="K193" s="3">
        <v>45917</v>
      </c>
      <c r="L193" t="s">
        <v>615</v>
      </c>
    </row>
    <row r="194" spans="1:12">
      <c r="A194" t="s">
        <v>616</v>
      </c>
      <c r="B194" s="3">
        <v>45915</v>
      </c>
      <c r="C194">
        <v>10087</v>
      </c>
      <c r="D194" t="s">
        <v>617</v>
      </c>
      <c r="E194" t="s">
        <v>618</v>
      </c>
      <c r="F194" t="s">
        <v>17</v>
      </c>
      <c r="G194" t="s">
        <v>88</v>
      </c>
      <c r="H194" t="s">
        <v>28</v>
      </c>
      <c r="I194" t="s">
        <v>20</v>
      </c>
      <c r="J194" s="4">
        <v>149</v>
      </c>
      <c r="K194" s="3">
        <v>45917</v>
      </c>
      <c r="L194" t="s">
        <v>619</v>
      </c>
    </row>
    <row r="195" spans="1:12">
      <c r="A195" t="s">
        <v>620</v>
      </c>
      <c r="B195" s="3">
        <v>45923</v>
      </c>
      <c r="C195">
        <v>10040</v>
      </c>
      <c r="D195" t="s">
        <v>284</v>
      </c>
      <c r="E195" t="s">
        <v>285</v>
      </c>
      <c r="F195" t="s">
        <v>26</v>
      </c>
      <c r="G195" t="s">
        <v>155</v>
      </c>
      <c r="H195" t="s">
        <v>368</v>
      </c>
      <c r="I195" t="s">
        <v>20</v>
      </c>
      <c r="J195" t="s">
        <v>621</v>
      </c>
      <c r="K195" s="3">
        <v>45925</v>
      </c>
      <c r="L195" t="s">
        <v>622</v>
      </c>
    </row>
    <row r="196" spans="1:12">
      <c r="A196" t="s">
        <v>623</v>
      </c>
      <c r="B196" s="3">
        <v>45923</v>
      </c>
      <c r="C196">
        <v>10045</v>
      </c>
      <c r="D196" t="s">
        <v>264</v>
      </c>
      <c r="E196" t="s">
        <v>265</v>
      </c>
      <c r="F196" t="s">
        <v>61</v>
      </c>
      <c r="G196" t="s">
        <v>62</v>
      </c>
      <c r="H196" t="s">
        <v>40</v>
      </c>
      <c r="I196" t="s">
        <v>20</v>
      </c>
      <c r="J196" s="4">
        <v>1378</v>
      </c>
      <c r="K196" s="3">
        <v>45923</v>
      </c>
      <c r="L196" t="s">
        <v>624</v>
      </c>
    </row>
    <row r="197" spans="1:12">
      <c r="A197" t="s">
        <v>625</v>
      </c>
      <c r="B197" s="3">
        <v>45925</v>
      </c>
      <c r="C197">
        <v>10137</v>
      </c>
      <c r="D197" t="s">
        <v>626</v>
      </c>
      <c r="E197" t="s">
        <v>627</v>
      </c>
      <c r="F197" t="s">
        <v>32</v>
      </c>
      <c r="G197" t="s">
        <v>33</v>
      </c>
      <c r="H197" t="s">
        <v>19</v>
      </c>
      <c r="I197" t="s">
        <v>20</v>
      </c>
      <c r="J197" s="4">
        <v>222</v>
      </c>
      <c r="K197" s="3">
        <v>45931</v>
      </c>
      <c r="L197" t="s">
        <v>628</v>
      </c>
    </row>
    <row r="198" spans="1:12">
      <c r="A198" t="s">
        <v>629</v>
      </c>
      <c r="B198" s="3">
        <v>45925</v>
      </c>
      <c r="C198">
        <v>10137</v>
      </c>
      <c r="D198" t="s">
        <v>626</v>
      </c>
      <c r="E198" t="s">
        <v>627</v>
      </c>
      <c r="F198" t="s">
        <v>26</v>
      </c>
      <c r="G198" t="s">
        <v>188</v>
      </c>
      <c r="H198" t="s">
        <v>28</v>
      </c>
      <c r="I198" t="s">
        <v>20</v>
      </c>
      <c r="J198" t="s">
        <v>630</v>
      </c>
      <c r="K198" s="3">
        <v>45925</v>
      </c>
      <c r="L198" t="s">
        <v>631</v>
      </c>
    </row>
    <row r="199" spans="1:12">
      <c r="A199" t="s">
        <v>632</v>
      </c>
      <c r="B199" s="3">
        <v>45926</v>
      </c>
      <c r="C199">
        <v>10116</v>
      </c>
      <c r="D199" t="s">
        <v>441</v>
      </c>
      <c r="E199" t="s">
        <v>442</v>
      </c>
      <c r="F199" t="s">
        <v>17</v>
      </c>
      <c r="G199" t="s">
        <v>18</v>
      </c>
      <c r="H199" t="s">
        <v>28</v>
      </c>
      <c r="I199" t="s">
        <v>20</v>
      </c>
      <c r="J199" s="4">
        <v>149</v>
      </c>
      <c r="K199" s="3">
        <v>45932</v>
      </c>
      <c r="L199" t="s">
        <v>633</v>
      </c>
    </row>
    <row r="200" spans="1:12">
      <c r="A200" t="s">
        <v>634</v>
      </c>
      <c r="B200" s="3">
        <v>45929</v>
      </c>
      <c r="C200">
        <v>10056</v>
      </c>
      <c r="D200" t="s">
        <v>333</v>
      </c>
      <c r="E200" t="s">
        <v>582</v>
      </c>
      <c r="F200" t="s">
        <v>225</v>
      </c>
      <c r="G200" t="s">
        <v>297</v>
      </c>
      <c r="H200" t="s">
        <v>28</v>
      </c>
      <c r="I200" t="s">
        <v>20</v>
      </c>
      <c r="J200" s="4">
        <v>472</v>
      </c>
      <c r="K200" s="3">
        <v>45929</v>
      </c>
    </row>
    <row r="201" spans="1:12">
      <c r="A201" t="s">
        <v>635</v>
      </c>
      <c r="B201" s="3">
        <v>45929</v>
      </c>
      <c r="C201">
        <v>10099</v>
      </c>
      <c r="D201" t="s">
        <v>636</v>
      </c>
      <c r="E201" t="s">
        <v>410</v>
      </c>
      <c r="F201" t="s">
        <v>17</v>
      </c>
      <c r="G201" t="s">
        <v>78</v>
      </c>
      <c r="H201" t="s">
        <v>28</v>
      </c>
      <c r="I201" t="s">
        <v>20</v>
      </c>
      <c r="J201" s="4">
        <v>149</v>
      </c>
      <c r="K201" s="3">
        <v>45932</v>
      </c>
      <c r="L201" t="s">
        <v>637</v>
      </c>
    </row>
    <row r="202" spans="1:12">
      <c r="A202" t="s">
        <v>638</v>
      </c>
      <c r="B202" s="3">
        <v>45930</v>
      </c>
      <c r="C202">
        <v>10106</v>
      </c>
      <c r="D202" t="s">
        <v>639</v>
      </c>
      <c r="E202" t="s">
        <v>640</v>
      </c>
      <c r="F202" t="s">
        <v>26</v>
      </c>
      <c r="G202" t="s">
        <v>146</v>
      </c>
      <c r="H202" t="s">
        <v>28</v>
      </c>
      <c r="I202" t="s">
        <v>20</v>
      </c>
      <c r="J202" t="s">
        <v>278</v>
      </c>
      <c r="K202" s="3">
        <v>45930</v>
      </c>
      <c r="L202" t="s">
        <v>641</v>
      </c>
    </row>
    <row r="203" spans="1:12">
      <c r="D203" s="5" t="s">
        <v>642</v>
      </c>
      <c r="J203" s="6">
        <f>SUBTOTAL(9,J186:J202)</f>
        <v>26712.0</v>
      </c>
    </row>
    <row r="205" spans="1:12">
      <c r="A205" t="s">
        <v>643</v>
      </c>
      <c r="B205" s="3">
        <v>45931</v>
      </c>
      <c r="C205">
        <v>10060</v>
      </c>
      <c r="D205" t="s">
        <v>644</v>
      </c>
      <c r="E205" t="s">
        <v>382</v>
      </c>
      <c r="F205" t="s">
        <v>26</v>
      </c>
      <c r="G205" t="s">
        <v>188</v>
      </c>
      <c r="H205" t="s">
        <v>40</v>
      </c>
      <c r="I205" t="s">
        <v>20</v>
      </c>
      <c r="J205" s="4">
        <v>196</v>
      </c>
      <c r="K205" s="3">
        <v>45932</v>
      </c>
      <c r="L205" t="s">
        <v>645</v>
      </c>
    </row>
    <row r="206" spans="1:12">
      <c r="A206" t="s">
        <v>646</v>
      </c>
      <c r="B206" s="3">
        <v>45932</v>
      </c>
      <c r="C206">
        <v>10013</v>
      </c>
      <c r="D206" t="s">
        <v>76</v>
      </c>
      <c r="E206" t="s">
        <v>230</v>
      </c>
      <c r="F206" t="s">
        <v>32</v>
      </c>
      <c r="G206" t="s">
        <v>68</v>
      </c>
      <c r="H206" t="s">
        <v>199</v>
      </c>
      <c r="I206" t="s">
        <v>20</v>
      </c>
      <c r="J206" s="4">
        <v>554</v>
      </c>
      <c r="K206" s="3">
        <v>45938</v>
      </c>
    </row>
    <row r="207" spans="1:12">
      <c r="A207" t="s">
        <v>647</v>
      </c>
      <c r="B207" s="3">
        <v>45932</v>
      </c>
      <c r="C207">
        <v>10128</v>
      </c>
      <c r="D207" t="s">
        <v>648</v>
      </c>
      <c r="E207" t="s">
        <v>649</v>
      </c>
      <c r="F207" t="s">
        <v>51</v>
      </c>
      <c r="G207" t="s">
        <v>52</v>
      </c>
      <c r="H207" t="s">
        <v>53</v>
      </c>
      <c r="I207" t="s">
        <v>74</v>
      </c>
      <c r="J207" s="4">
        <v>13045</v>
      </c>
      <c r="K207" t="s">
        <v>650</v>
      </c>
    </row>
    <row r="208" spans="1:12">
      <c r="A208" t="s">
        <v>651</v>
      </c>
      <c r="B208" s="3">
        <v>45936</v>
      </c>
      <c r="C208">
        <v>10028</v>
      </c>
      <c r="D208" t="s">
        <v>652</v>
      </c>
      <c r="E208" t="s">
        <v>653</v>
      </c>
      <c r="F208" t="s">
        <v>26</v>
      </c>
      <c r="G208" t="s">
        <v>155</v>
      </c>
      <c r="H208" t="s">
        <v>28</v>
      </c>
      <c r="I208" t="s">
        <v>20</v>
      </c>
      <c r="J208" s="4">
        <v>179</v>
      </c>
      <c r="K208" s="3">
        <v>45936</v>
      </c>
      <c r="L208" t="s">
        <v>654</v>
      </c>
    </row>
    <row r="209" spans="1:12">
      <c r="A209" t="s">
        <v>655</v>
      </c>
      <c r="B209" s="3">
        <v>45936</v>
      </c>
      <c r="C209">
        <v>10082</v>
      </c>
      <c r="D209" t="s">
        <v>66</v>
      </c>
      <c r="E209" t="s">
        <v>656</v>
      </c>
      <c r="F209" t="s">
        <v>225</v>
      </c>
      <c r="G209" t="s">
        <v>266</v>
      </c>
      <c r="H209" t="s">
        <v>28</v>
      </c>
      <c r="I209" t="s">
        <v>20</v>
      </c>
      <c r="J209" s="4">
        <v>473</v>
      </c>
      <c r="K209" s="3">
        <v>45936</v>
      </c>
      <c r="L209" t="s">
        <v>657</v>
      </c>
    </row>
    <row r="210" spans="1:12">
      <c r="A210" t="s">
        <v>658</v>
      </c>
      <c r="B210" s="3">
        <v>45936</v>
      </c>
      <c r="D210" t="s">
        <v>659</v>
      </c>
      <c r="E210" t="s">
        <v>660</v>
      </c>
      <c r="F210" t="s">
        <v>32</v>
      </c>
      <c r="G210" t="s">
        <v>103</v>
      </c>
      <c r="H210" t="s">
        <v>28</v>
      </c>
      <c r="I210" t="s">
        <v>20</v>
      </c>
      <c r="J210" s="4">
        <v>622</v>
      </c>
      <c r="K210" s="3">
        <v>45940</v>
      </c>
      <c r="L210" t="s">
        <v>661</v>
      </c>
    </row>
    <row r="211" spans="1:12">
      <c r="A211" t="s">
        <v>662</v>
      </c>
      <c r="B211" s="3">
        <v>45937</v>
      </c>
      <c r="C211">
        <v>10001</v>
      </c>
      <c r="D211" t="s">
        <v>445</v>
      </c>
      <c r="E211" t="s">
        <v>446</v>
      </c>
      <c r="F211" t="s">
        <v>51</v>
      </c>
      <c r="G211" t="s">
        <v>52</v>
      </c>
      <c r="H211" t="s">
        <v>663</v>
      </c>
      <c r="I211" t="s">
        <v>74</v>
      </c>
      <c r="J211" t="s">
        <v>664</v>
      </c>
      <c r="K211" s="3">
        <v>45971</v>
      </c>
    </row>
    <row r="212" spans="1:12">
      <c r="A212" t="s">
        <v>665</v>
      </c>
      <c r="B212" s="3">
        <v>45937</v>
      </c>
      <c r="D212" t="s">
        <v>666</v>
      </c>
      <c r="E212" t="s">
        <v>130</v>
      </c>
      <c r="F212" t="s">
        <v>32</v>
      </c>
      <c r="G212" t="s">
        <v>435</v>
      </c>
      <c r="H212" t="s">
        <v>19</v>
      </c>
      <c r="I212" t="s">
        <v>20</v>
      </c>
      <c r="J212" s="4">
        <v>242</v>
      </c>
      <c r="K212" s="3">
        <v>45938</v>
      </c>
      <c r="L212" t="s">
        <v>667</v>
      </c>
    </row>
    <row r="213" spans="1:12">
      <c r="A213" t="s">
        <v>668</v>
      </c>
      <c r="B213" s="3">
        <v>45940</v>
      </c>
      <c r="C213">
        <v>10118</v>
      </c>
      <c r="D213" t="s">
        <v>669</v>
      </c>
      <c r="E213" t="s">
        <v>670</v>
      </c>
      <c r="F213" t="s">
        <v>17</v>
      </c>
      <c r="G213" t="s">
        <v>119</v>
      </c>
      <c r="H213" t="s">
        <v>34</v>
      </c>
      <c r="I213" t="s">
        <v>20</v>
      </c>
      <c r="J213" s="4">
        <v>139</v>
      </c>
      <c r="K213" s="3">
        <v>45944</v>
      </c>
      <c r="L213" t="s">
        <v>671</v>
      </c>
    </row>
    <row r="214" spans="1:12">
      <c r="A214" t="s">
        <v>672</v>
      </c>
      <c r="B214" s="3">
        <v>45943</v>
      </c>
      <c r="C214">
        <v>10051</v>
      </c>
      <c r="D214" t="s">
        <v>322</v>
      </c>
      <c r="E214" t="s">
        <v>323</v>
      </c>
      <c r="F214" t="s">
        <v>17</v>
      </c>
      <c r="G214" t="s">
        <v>119</v>
      </c>
      <c r="H214" t="s">
        <v>28</v>
      </c>
      <c r="I214" t="s">
        <v>20</v>
      </c>
      <c r="J214" s="4">
        <v>139</v>
      </c>
      <c r="K214" s="3">
        <v>45943</v>
      </c>
      <c r="L214" t="s">
        <v>673</v>
      </c>
    </row>
    <row r="215" spans="1:12">
      <c r="A215" t="s">
        <v>674</v>
      </c>
      <c r="B215" s="3">
        <v>45943</v>
      </c>
      <c r="C215">
        <v>10102</v>
      </c>
      <c r="D215" t="s">
        <v>675</v>
      </c>
      <c r="E215" t="s">
        <v>676</v>
      </c>
      <c r="F215" t="s">
        <v>292</v>
      </c>
      <c r="G215" t="s">
        <v>293</v>
      </c>
      <c r="H215" t="s">
        <v>40</v>
      </c>
      <c r="I215" t="s">
        <v>20</v>
      </c>
      <c r="J215" t="s">
        <v>677</v>
      </c>
      <c r="K215" s="3">
        <v>45945</v>
      </c>
      <c r="L215" t="s">
        <v>678</v>
      </c>
    </row>
    <row r="216" spans="1:12">
      <c r="A216" t="s">
        <v>679</v>
      </c>
      <c r="B216" s="3">
        <v>45943</v>
      </c>
      <c r="C216">
        <v>10105</v>
      </c>
      <c r="D216" t="s">
        <v>680</v>
      </c>
      <c r="E216" t="s">
        <v>681</v>
      </c>
      <c r="F216" t="s">
        <v>26</v>
      </c>
      <c r="G216" t="s">
        <v>146</v>
      </c>
      <c r="H216" t="s">
        <v>28</v>
      </c>
      <c r="I216" t="s">
        <v>20</v>
      </c>
      <c r="J216" t="s">
        <v>682</v>
      </c>
      <c r="K216" s="3">
        <v>45945</v>
      </c>
    </row>
    <row r="217" spans="1:12">
      <c r="A217" t="s">
        <v>683</v>
      </c>
      <c r="B217" s="3">
        <v>45943</v>
      </c>
      <c r="C217">
        <v>10117</v>
      </c>
      <c r="D217" t="s">
        <v>349</v>
      </c>
      <c r="E217" t="s">
        <v>350</v>
      </c>
      <c r="F217" t="s">
        <v>32</v>
      </c>
      <c r="G217" t="s">
        <v>435</v>
      </c>
      <c r="H217" t="s">
        <v>19</v>
      </c>
      <c r="I217" t="s">
        <v>63</v>
      </c>
      <c r="J217" s="4">
        <v>286</v>
      </c>
    </row>
    <row r="218" spans="1:12">
      <c r="A218" t="s">
        <v>684</v>
      </c>
      <c r="B218" s="3">
        <v>45943</v>
      </c>
      <c r="C218">
        <v>10124</v>
      </c>
      <c r="D218" t="s">
        <v>685</v>
      </c>
      <c r="E218" t="s">
        <v>686</v>
      </c>
      <c r="F218" t="s">
        <v>17</v>
      </c>
      <c r="G218" t="s">
        <v>78</v>
      </c>
      <c r="H218" t="s">
        <v>28</v>
      </c>
      <c r="I218" t="s">
        <v>20</v>
      </c>
      <c r="J218" s="4">
        <v>189</v>
      </c>
      <c r="K218" s="3">
        <v>45945</v>
      </c>
    </row>
    <row r="219" spans="1:12">
      <c r="A219" t="s">
        <v>687</v>
      </c>
      <c r="B219" s="3">
        <v>45944</v>
      </c>
      <c r="C219">
        <v>10052</v>
      </c>
      <c r="D219" t="s">
        <v>688</v>
      </c>
      <c r="E219" t="s">
        <v>689</v>
      </c>
      <c r="F219" t="s">
        <v>17</v>
      </c>
      <c r="G219" t="s">
        <v>88</v>
      </c>
      <c r="H219" t="s">
        <v>40</v>
      </c>
      <c r="I219" t="s">
        <v>20</v>
      </c>
      <c r="J219" s="4">
        <v>189</v>
      </c>
      <c r="K219" s="3">
        <v>45944</v>
      </c>
      <c r="L219" t="s">
        <v>690</v>
      </c>
    </row>
    <row r="220" spans="1:12">
      <c r="A220" t="s">
        <v>691</v>
      </c>
      <c r="B220" s="3">
        <v>45945</v>
      </c>
      <c r="C220">
        <v>10083</v>
      </c>
      <c r="D220" t="s">
        <v>692</v>
      </c>
      <c r="E220" t="s">
        <v>693</v>
      </c>
      <c r="F220" t="s">
        <v>51</v>
      </c>
      <c r="G220" t="s">
        <v>73</v>
      </c>
      <c r="H220" t="s">
        <v>663</v>
      </c>
      <c r="I220" t="s">
        <v>20</v>
      </c>
      <c r="J220" s="4">
        <v>15879</v>
      </c>
      <c r="K220" s="3">
        <v>45992</v>
      </c>
      <c r="L220" t="s">
        <v>694</v>
      </c>
    </row>
    <row r="221" spans="1:12">
      <c r="A221" t="s">
        <v>695</v>
      </c>
      <c r="B221" s="3">
        <v>45950</v>
      </c>
      <c r="C221">
        <v>10026</v>
      </c>
      <c r="D221" t="s">
        <v>300</v>
      </c>
      <c r="E221" t="s">
        <v>301</v>
      </c>
      <c r="F221" t="s">
        <v>26</v>
      </c>
      <c r="G221" t="s">
        <v>108</v>
      </c>
      <c r="H221" t="s">
        <v>28</v>
      </c>
      <c r="I221" t="s">
        <v>20</v>
      </c>
      <c r="J221" s="4">
        <v>706</v>
      </c>
      <c r="K221" s="3">
        <v>45951</v>
      </c>
      <c r="L221" t="s">
        <v>696</v>
      </c>
    </row>
    <row r="222" spans="1:12">
      <c r="A222" t="s">
        <v>697</v>
      </c>
      <c r="B222" s="3">
        <v>45950</v>
      </c>
      <c r="C222">
        <v>10042</v>
      </c>
      <c r="D222" t="s">
        <v>698</v>
      </c>
      <c r="E222" t="s">
        <v>699</v>
      </c>
      <c r="F222" t="s">
        <v>17</v>
      </c>
      <c r="G222" t="s">
        <v>78</v>
      </c>
      <c r="H222" t="s">
        <v>34</v>
      </c>
      <c r="I222" t="s">
        <v>74</v>
      </c>
      <c r="J222" s="4">
        <v>159</v>
      </c>
      <c r="K222" s="3">
        <v>45953</v>
      </c>
    </row>
    <row r="223" spans="1:12">
      <c r="A223" t="s">
        <v>700</v>
      </c>
      <c r="B223" s="3">
        <v>45950</v>
      </c>
      <c r="C223">
        <v>10068</v>
      </c>
      <c r="D223" t="s">
        <v>250</v>
      </c>
      <c r="E223" t="s">
        <v>251</v>
      </c>
      <c r="F223" t="s">
        <v>17</v>
      </c>
      <c r="G223" t="s">
        <v>88</v>
      </c>
      <c r="H223" t="s">
        <v>40</v>
      </c>
      <c r="I223" t="s">
        <v>20</v>
      </c>
      <c r="J223" s="4">
        <v>139</v>
      </c>
      <c r="K223" s="3">
        <v>45951</v>
      </c>
      <c r="L223" t="s">
        <v>701</v>
      </c>
    </row>
    <row r="224" spans="1:12">
      <c r="A224" t="s">
        <v>702</v>
      </c>
      <c r="B224" s="3">
        <v>45951</v>
      </c>
      <c r="C224">
        <v>10013</v>
      </c>
      <c r="D224" t="s">
        <v>76</v>
      </c>
      <c r="E224" t="s">
        <v>230</v>
      </c>
      <c r="F224" t="s">
        <v>233</v>
      </c>
      <c r="G224" t="s">
        <v>234</v>
      </c>
      <c r="H224" t="s">
        <v>48</v>
      </c>
      <c r="I224" t="s">
        <v>20</v>
      </c>
      <c r="J224" s="4">
        <v>34568</v>
      </c>
      <c r="K224" s="3">
        <v>45982</v>
      </c>
      <c r="L224" t="s">
        <v>703</v>
      </c>
    </row>
    <row r="225" spans="1:12">
      <c r="A225" t="s">
        <v>704</v>
      </c>
      <c r="B225" s="3">
        <v>45951</v>
      </c>
      <c r="D225" t="s">
        <v>675</v>
      </c>
      <c r="E225" t="s">
        <v>676</v>
      </c>
      <c r="F225" t="s">
        <v>26</v>
      </c>
      <c r="G225" t="s">
        <v>188</v>
      </c>
      <c r="H225" t="s">
        <v>28</v>
      </c>
      <c r="I225" t="s">
        <v>20</v>
      </c>
      <c r="J225" s="4">
        <v>646</v>
      </c>
      <c r="K225" s="3">
        <v>45952</v>
      </c>
      <c r="L225" t="s">
        <v>705</v>
      </c>
    </row>
    <row r="226" spans="1:12">
      <c r="A226" t="s">
        <v>706</v>
      </c>
      <c r="B226" s="3">
        <v>45953</v>
      </c>
      <c r="D226" t="s">
        <v>71</v>
      </c>
      <c r="E226" t="s">
        <v>72</v>
      </c>
      <c r="F226" t="s">
        <v>17</v>
      </c>
      <c r="G226" t="s">
        <v>18</v>
      </c>
      <c r="H226" t="s">
        <v>40</v>
      </c>
      <c r="I226" t="s">
        <v>20</v>
      </c>
      <c r="J226" s="4">
        <v>149</v>
      </c>
      <c r="K226" s="3">
        <v>45953</v>
      </c>
    </row>
    <row r="227" spans="1:12">
      <c r="A227" t="s">
        <v>707</v>
      </c>
      <c r="B227" s="3">
        <v>45953</v>
      </c>
      <c r="C227">
        <v>10127</v>
      </c>
      <c r="D227" t="s">
        <v>708</v>
      </c>
      <c r="E227" t="s">
        <v>709</v>
      </c>
      <c r="F227" t="s">
        <v>26</v>
      </c>
      <c r="G227" t="s">
        <v>302</v>
      </c>
      <c r="H227" t="s">
        <v>28</v>
      </c>
      <c r="I227" t="s">
        <v>20</v>
      </c>
      <c r="J227" s="4">
        <v>964</v>
      </c>
      <c r="K227" s="3">
        <v>45953</v>
      </c>
      <c r="L227" t="s">
        <v>710</v>
      </c>
    </row>
    <row r="228" spans="1:12">
      <c r="A228" t="s">
        <v>711</v>
      </c>
      <c r="B228" s="3">
        <v>45957</v>
      </c>
      <c r="D228" t="s">
        <v>556</v>
      </c>
      <c r="E228" t="s">
        <v>224</v>
      </c>
      <c r="F228" t="s">
        <v>17</v>
      </c>
      <c r="G228" t="s">
        <v>88</v>
      </c>
      <c r="H228" t="s">
        <v>19</v>
      </c>
      <c r="I228" t="s">
        <v>20</v>
      </c>
      <c r="J228" s="4">
        <v>139</v>
      </c>
      <c r="K228" s="3">
        <v>45959</v>
      </c>
    </row>
    <row r="229" spans="1:12">
      <c r="A229" t="s">
        <v>712</v>
      </c>
      <c r="B229" s="3">
        <v>45958</v>
      </c>
      <c r="C229">
        <v>10056</v>
      </c>
      <c r="D229" t="s">
        <v>333</v>
      </c>
      <c r="E229" t="s">
        <v>525</v>
      </c>
      <c r="F229" t="s">
        <v>17</v>
      </c>
      <c r="G229" t="s">
        <v>78</v>
      </c>
      <c r="H229" t="s">
        <v>19</v>
      </c>
      <c r="I229" t="s">
        <v>20</v>
      </c>
      <c r="J229" s="4">
        <v>139</v>
      </c>
      <c r="K229" s="3">
        <v>45965</v>
      </c>
      <c r="L229" t="s">
        <v>713</v>
      </c>
    </row>
    <row r="230" spans="1:12">
      <c r="A230" t="s">
        <v>714</v>
      </c>
      <c r="B230" s="3">
        <v>45960</v>
      </c>
      <c r="D230" t="s">
        <v>715</v>
      </c>
      <c r="E230" t="s">
        <v>285</v>
      </c>
      <c r="F230" t="s">
        <v>61</v>
      </c>
      <c r="G230" t="s">
        <v>124</v>
      </c>
      <c r="H230" t="s">
        <v>28</v>
      </c>
      <c r="I230" t="s">
        <v>20</v>
      </c>
      <c r="J230" s="4">
        <v>282</v>
      </c>
      <c r="K230" s="3">
        <v>45966</v>
      </c>
      <c r="L230" t="s">
        <v>716</v>
      </c>
    </row>
    <row r="231" spans="1:12">
      <c r="D231" s="5" t="s">
        <v>717</v>
      </c>
      <c r="J231" s="6">
        <f>SUBTOTAL(9,J205:J230)</f>
        <v>70023.0</v>
      </c>
    </row>
    <row r="233" spans="1:12">
      <c r="A233" t="s">
        <v>718</v>
      </c>
      <c r="B233" s="3">
        <v>45964</v>
      </c>
      <c r="D233" t="s">
        <v>719</v>
      </c>
      <c r="E233" t="s">
        <v>588</v>
      </c>
      <c r="F233" t="s">
        <v>32</v>
      </c>
      <c r="G233" t="s">
        <v>435</v>
      </c>
      <c r="H233" t="s">
        <v>19</v>
      </c>
      <c r="I233" t="s">
        <v>20</v>
      </c>
      <c r="J233" s="4">
        <v>588</v>
      </c>
      <c r="K233" s="3">
        <v>45964</v>
      </c>
      <c r="L233" t="s">
        <v>720</v>
      </c>
    </row>
    <row r="234" spans="1:12">
      <c r="A234" t="s">
        <v>721</v>
      </c>
      <c r="B234" s="3">
        <v>45964</v>
      </c>
      <c r="C234">
        <v>10043</v>
      </c>
      <c r="D234" t="s">
        <v>722</v>
      </c>
      <c r="E234" t="s">
        <v>56</v>
      </c>
      <c r="F234" t="s">
        <v>17</v>
      </c>
      <c r="G234" t="s">
        <v>119</v>
      </c>
      <c r="H234" t="s">
        <v>28</v>
      </c>
      <c r="I234" t="s">
        <v>20</v>
      </c>
      <c r="J234" s="4">
        <v>149</v>
      </c>
      <c r="K234" s="3">
        <v>45967</v>
      </c>
      <c r="L234" t="s">
        <v>723</v>
      </c>
    </row>
    <row r="235" spans="1:12">
      <c r="A235" t="s">
        <v>724</v>
      </c>
      <c r="B235" s="3">
        <v>45964</v>
      </c>
      <c r="C235">
        <v>10117</v>
      </c>
      <c r="D235" t="s">
        <v>349</v>
      </c>
      <c r="E235" t="s">
        <v>350</v>
      </c>
      <c r="F235" t="s">
        <v>225</v>
      </c>
      <c r="G235" t="s">
        <v>297</v>
      </c>
      <c r="H235" t="s">
        <v>19</v>
      </c>
      <c r="I235" t="s">
        <v>20</v>
      </c>
      <c r="J235" t="s">
        <v>725</v>
      </c>
      <c r="K235" s="3">
        <v>45965</v>
      </c>
      <c r="L235" t="s">
        <v>726</v>
      </c>
    </row>
    <row r="236" spans="1:12">
      <c r="A236" t="s">
        <v>727</v>
      </c>
      <c r="B236" s="3">
        <v>45965</v>
      </c>
      <c r="D236" t="s">
        <v>728</v>
      </c>
      <c r="E236" t="s">
        <v>729</v>
      </c>
      <c r="F236" t="s">
        <v>17</v>
      </c>
      <c r="G236" t="s">
        <v>78</v>
      </c>
      <c r="H236" t="s">
        <v>28</v>
      </c>
      <c r="I236" t="s">
        <v>20</v>
      </c>
      <c r="J236" s="4">
        <v>139</v>
      </c>
      <c r="K236" s="3">
        <v>45968</v>
      </c>
      <c r="L236" t="s">
        <v>730</v>
      </c>
    </row>
    <row r="237" spans="1:12">
      <c r="A237" t="s">
        <v>731</v>
      </c>
      <c r="B237" s="3">
        <v>45966</v>
      </c>
      <c r="C237">
        <v>10122</v>
      </c>
      <c r="D237" t="s">
        <v>552</v>
      </c>
      <c r="E237" t="s">
        <v>553</v>
      </c>
      <c r="F237" t="s">
        <v>51</v>
      </c>
      <c r="G237" t="s">
        <v>151</v>
      </c>
      <c r="H237" t="s">
        <v>604</v>
      </c>
      <c r="I237" t="s">
        <v>20</v>
      </c>
      <c r="J237" s="4">
        <v>12051</v>
      </c>
      <c r="K237" s="3">
        <v>46014</v>
      </c>
      <c r="L237" t="s">
        <v>732</v>
      </c>
    </row>
    <row r="238" spans="1:12">
      <c r="A238" t="s">
        <v>733</v>
      </c>
      <c r="B238" s="3">
        <v>45967</v>
      </c>
      <c r="C238">
        <v>10111</v>
      </c>
      <c r="D238" t="s">
        <v>734</v>
      </c>
      <c r="E238" t="s">
        <v>735</v>
      </c>
      <c r="F238" t="s">
        <v>17</v>
      </c>
      <c r="G238" t="s">
        <v>18</v>
      </c>
      <c r="H238" t="s">
        <v>19</v>
      </c>
      <c r="I238" t="s">
        <v>20</v>
      </c>
      <c r="J238" s="4">
        <v>159</v>
      </c>
      <c r="K238" s="3">
        <v>45972</v>
      </c>
      <c r="L238" t="s">
        <v>736</v>
      </c>
    </row>
    <row r="239" spans="1:12">
      <c r="A239" t="s">
        <v>737</v>
      </c>
      <c r="B239" s="3">
        <v>45967</v>
      </c>
      <c r="C239">
        <v>10136</v>
      </c>
      <c r="D239" t="s">
        <v>505</v>
      </c>
      <c r="E239" t="s">
        <v>506</v>
      </c>
      <c r="F239" t="s">
        <v>17</v>
      </c>
      <c r="G239" t="s">
        <v>119</v>
      </c>
      <c r="H239" t="s">
        <v>28</v>
      </c>
      <c r="I239" t="s">
        <v>20</v>
      </c>
      <c r="J239" t="s">
        <v>21</v>
      </c>
      <c r="K239" s="3">
        <v>45968</v>
      </c>
      <c r="L239" t="s">
        <v>738</v>
      </c>
    </row>
    <row r="240" spans="1:12">
      <c r="A240" t="s">
        <v>739</v>
      </c>
      <c r="B240" s="3">
        <v>45968</v>
      </c>
      <c r="C240">
        <v>10050</v>
      </c>
      <c r="D240" t="s">
        <v>37</v>
      </c>
      <c r="E240" t="s">
        <v>571</v>
      </c>
      <c r="F240" t="s">
        <v>225</v>
      </c>
      <c r="G240" t="s">
        <v>226</v>
      </c>
      <c r="H240" t="s">
        <v>40</v>
      </c>
      <c r="I240" t="s">
        <v>20</v>
      </c>
      <c r="J240" s="4">
        <v>364</v>
      </c>
      <c r="K240" s="3">
        <v>45972</v>
      </c>
    </row>
    <row r="241" spans="1:12">
      <c r="A241" t="s">
        <v>740</v>
      </c>
      <c r="B241" s="3">
        <v>45971</v>
      </c>
      <c r="C241">
        <v>10008</v>
      </c>
      <c r="D241" t="s">
        <v>240</v>
      </c>
      <c r="E241" t="s">
        <v>224</v>
      </c>
      <c r="F241" t="s">
        <v>17</v>
      </c>
      <c r="G241" t="s">
        <v>78</v>
      </c>
      <c r="H241" t="s">
        <v>19</v>
      </c>
      <c r="I241" t="s">
        <v>20</v>
      </c>
      <c r="J241" t="s">
        <v>21</v>
      </c>
      <c r="K241" s="3">
        <v>45974</v>
      </c>
      <c r="L241" t="s">
        <v>741</v>
      </c>
    </row>
    <row r="242" spans="1:12">
      <c r="A242" t="s">
        <v>742</v>
      </c>
      <c r="B242" s="3">
        <v>45971</v>
      </c>
      <c r="C242">
        <v>10021</v>
      </c>
      <c r="D242" t="s">
        <v>743</v>
      </c>
      <c r="E242" t="s">
        <v>744</v>
      </c>
      <c r="F242" t="s">
        <v>26</v>
      </c>
      <c r="G242" t="s">
        <v>242</v>
      </c>
      <c r="H242" t="s">
        <v>28</v>
      </c>
      <c r="I242" t="s">
        <v>20</v>
      </c>
      <c r="J242" t="s">
        <v>745</v>
      </c>
      <c r="K242" s="3">
        <v>45972</v>
      </c>
      <c r="L242" t="s">
        <v>746</v>
      </c>
    </row>
    <row r="243" spans="1:12">
      <c r="A243" t="s">
        <v>747</v>
      </c>
      <c r="B243" s="3">
        <v>45972</v>
      </c>
      <c r="D243" t="s">
        <v>309</v>
      </c>
      <c r="E243" t="s">
        <v>310</v>
      </c>
      <c r="F243" t="s">
        <v>26</v>
      </c>
      <c r="G243" t="s">
        <v>242</v>
      </c>
      <c r="H243" t="s">
        <v>34</v>
      </c>
      <c r="I243" t="s">
        <v>20</v>
      </c>
      <c r="J243" s="4">
        <v>743</v>
      </c>
      <c r="K243" s="3">
        <v>45973</v>
      </c>
    </row>
    <row r="244" spans="1:12">
      <c r="A244" t="s">
        <v>748</v>
      </c>
      <c r="B244" s="3">
        <v>45974</v>
      </c>
      <c r="C244">
        <v>10083</v>
      </c>
      <c r="D244" t="s">
        <v>692</v>
      </c>
      <c r="E244" t="s">
        <v>693</v>
      </c>
      <c r="F244" t="s">
        <v>51</v>
      </c>
      <c r="G244" t="s">
        <v>52</v>
      </c>
      <c r="H244" t="s">
        <v>53</v>
      </c>
      <c r="I244" t="s">
        <v>20</v>
      </c>
      <c r="J244" s="4">
        <v>12658</v>
      </c>
      <c r="K244" s="3">
        <v>46007</v>
      </c>
    </row>
    <row r="245" spans="1:12">
      <c r="A245" t="s">
        <v>749</v>
      </c>
      <c r="B245" s="3">
        <v>45975</v>
      </c>
      <c r="C245">
        <v>10049</v>
      </c>
      <c r="D245" t="s">
        <v>750</v>
      </c>
      <c r="E245" t="s">
        <v>751</v>
      </c>
      <c r="F245" t="s">
        <v>51</v>
      </c>
      <c r="G245" t="s">
        <v>151</v>
      </c>
      <c r="H245" t="s">
        <v>53</v>
      </c>
      <c r="I245" t="s">
        <v>20</v>
      </c>
      <c r="J245" s="4">
        <v>15637</v>
      </c>
      <c r="K245" s="3">
        <v>45996</v>
      </c>
    </row>
    <row r="246" spans="1:12">
      <c r="A246" t="s">
        <v>752</v>
      </c>
      <c r="B246" s="3">
        <v>45978</v>
      </c>
      <c r="C246">
        <v>10081</v>
      </c>
      <c r="D246" t="s">
        <v>753</v>
      </c>
      <c r="E246" t="s">
        <v>160</v>
      </c>
      <c r="F246" t="s">
        <v>61</v>
      </c>
      <c r="G246" t="s">
        <v>172</v>
      </c>
      <c r="H246" t="s">
        <v>28</v>
      </c>
      <c r="I246" t="s">
        <v>74</v>
      </c>
      <c r="J246" s="4">
        <v>1549</v>
      </c>
      <c r="K246" s="3">
        <v>45978</v>
      </c>
    </row>
    <row r="247" spans="1:12">
      <c r="A247" t="s">
        <v>754</v>
      </c>
      <c r="B247" s="3">
        <v>45981</v>
      </c>
      <c r="C247">
        <v>10001</v>
      </c>
      <c r="D247" t="s">
        <v>445</v>
      </c>
      <c r="E247" t="s">
        <v>446</v>
      </c>
      <c r="F247" t="s">
        <v>17</v>
      </c>
      <c r="G247" t="s">
        <v>78</v>
      </c>
      <c r="H247" t="s">
        <v>28</v>
      </c>
      <c r="I247" t="s">
        <v>20</v>
      </c>
      <c r="J247" s="4">
        <v>139</v>
      </c>
      <c r="K247" s="3">
        <v>45987</v>
      </c>
      <c r="L247" t="s">
        <v>755</v>
      </c>
    </row>
    <row r="248" spans="1:12">
      <c r="A248" t="s">
        <v>756</v>
      </c>
      <c r="B248" s="3">
        <v>45981</v>
      </c>
      <c r="C248">
        <v>10056</v>
      </c>
      <c r="D248" t="s">
        <v>333</v>
      </c>
      <c r="E248" t="s">
        <v>525</v>
      </c>
      <c r="F248" t="s">
        <v>292</v>
      </c>
      <c r="G248" t="s">
        <v>293</v>
      </c>
      <c r="H248" t="s">
        <v>34</v>
      </c>
      <c r="I248" t="s">
        <v>20</v>
      </c>
      <c r="J248" s="4">
        <v>1399</v>
      </c>
      <c r="K248" s="3">
        <v>45987</v>
      </c>
      <c r="L248" t="s">
        <v>757</v>
      </c>
    </row>
    <row r="249" spans="1:12">
      <c r="A249" t="s">
        <v>758</v>
      </c>
      <c r="B249" s="3">
        <v>45981</v>
      </c>
      <c r="C249">
        <v>10115</v>
      </c>
      <c r="D249" t="s">
        <v>759</v>
      </c>
      <c r="E249" t="s">
        <v>760</v>
      </c>
      <c r="F249" t="s">
        <v>17</v>
      </c>
      <c r="G249" t="s">
        <v>18</v>
      </c>
      <c r="H249" t="s">
        <v>34</v>
      </c>
      <c r="I249" t="s">
        <v>20</v>
      </c>
      <c r="J249" s="4">
        <v>159</v>
      </c>
      <c r="K249" s="3">
        <v>45986</v>
      </c>
      <c r="L249" t="s">
        <v>761</v>
      </c>
    </row>
    <row r="250" spans="1:12">
      <c r="A250" t="s">
        <v>762</v>
      </c>
      <c r="B250" s="3">
        <v>45982</v>
      </c>
      <c r="C250">
        <v>10002</v>
      </c>
      <c r="D250" t="s">
        <v>219</v>
      </c>
      <c r="E250" t="s">
        <v>220</v>
      </c>
      <c r="F250" t="s">
        <v>26</v>
      </c>
      <c r="G250" t="s">
        <v>27</v>
      </c>
      <c r="H250" t="s">
        <v>28</v>
      </c>
      <c r="I250" t="s">
        <v>20</v>
      </c>
      <c r="J250" t="s">
        <v>763</v>
      </c>
      <c r="K250" s="3">
        <v>45988</v>
      </c>
      <c r="L250" t="s">
        <v>764</v>
      </c>
    </row>
    <row r="251" spans="1:12">
      <c r="A251" t="s">
        <v>765</v>
      </c>
      <c r="B251" s="3">
        <v>45982</v>
      </c>
      <c r="C251">
        <v>10008</v>
      </c>
      <c r="D251" t="s">
        <v>556</v>
      </c>
      <c r="E251" t="s">
        <v>766</v>
      </c>
      <c r="F251" t="s">
        <v>292</v>
      </c>
      <c r="G251" t="s">
        <v>293</v>
      </c>
      <c r="H251" t="s">
        <v>19</v>
      </c>
      <c r="I251" t="s">
        <v>20</v>
      </c>
      <c r="J251" t="s">
        <v>767</v>
      </c>
      <c r="K251" s="3">
        <v>45987</v>
      </c>
      <c r="L251" t="s">
        <v>768</v>
      </c>
    </row>
    <row r="252" spans="1:12">
      <c r="A252" t="s">
        <v>769</v>
      </c>
      <c r="B252" s="3">
        <v>45985</v>
      </c>
      <c r="D252" t="s">
        <v>770</v>
      </c>
      <c r="E252" t="s">
        <v>771</v>
      </c>
      <c r="F252" t="s">
        <v>61</v>
      </c>
      <c r="G252" t="s">
        <v>62</v>
      </c>
      <c r="H252" t="s">
        <v>772</v>
      </c>
      <c r="I252" t="s">
        <v>20</v>
      </c>
      <c r="J252" s="4">
        <v>607</v>
      </c>
      <c r="K252" s="3">
        <v>45988</v>
      </c>
      <c r="L252" t="s">
        <v>773</v>
      </c>
    </row>
    <row r="253" spans="1:12">
      <c r="A253" t="s">
        <v>774</v>
      </c>
      <c r="B253" s="3">
        <v>45987</v>
      </c>
      <c r="C253">
        <v>10005</v>
      </c>
      <c r="D253" t="s">
        <v>594</v>
      </c>
      <c r="E253" t="s">
        <v>574</v>
      </c>
      <c r="F253" t="s">
        <v>26</v>
      </c>
      <c r="G253" t="s">
        <v>242</v>
      </c>
      <c r="H253" t="s">
        <v>34</v>
      </c>
      <c r="I253" t="s">
        <v>20</v>
      </c>
      <c r="J253" s="4">
        <v>1089</v>
      </c>
      <c r="K253" s="3">
        <v>45992</v>
      </c>
      <c r="L253" t="s">
        <v>775</v>
      </c>
    </row>
    <row r="254" spans="1:12">
      <c r="A254" t="s">
        <v>776</v>
      </c>
      <c r="B254" s="3">
        <v>45988</v>
      </c>
      <c r="C254">
        <v>10126</v>
      </c>
      <c r="D254" t="s">
        <v>24</v>
      </c>
      <c r="E254" t="s">
        <v>25</v>
      </c>
      <c r="F254" t="s">
        <v>51</v>
      </c>
      <c r="G254" t="s">
        <v>73</v>
      </c>
      <c r="H254" t="s">
        <v>604</v>
      </c>
      <c r="I254" t="s">
        <v>20</v>
      </c>
      <c r="J254" s="4">
        <v>10476</v>
      </c>
      <c r="K254" s="3">
        <v>46028</v>
      </c>
    </row>
    <row r="255" spans="1:12">
      <c r="D255" s="5" t="s">
        <v>777</v>
      </c>
      <c r="J255" s="6">
        <f>SUBTOTAL(9,J233:J254)</f>
        <v>57906.0</v>
      </c>
    </row>
    <row r="257" spans="1:12">
      <c r="A257" t="s">
        <v>778</v>
      </c>
      <c r="B257" s="3">
        <v>45992</v>
      </c>
      <c r="C257">
        <v>10014</v>
      </c>
      <c r="D257" t="s">
        <v>779</v>
      </c>
      <c r="E257" t="s">
        <v>60</v>
      </c>
      <c r="F257" t="s">
        <v>17</v>
      </c>
      <c r="G257" t="s">
        <v>78</v>
      </c>
      <c r="H257" t="s">
        <v>40</v>
      </c>
      <c r="I257" t="s">
        <v>20</v>
      </c>
      <c r="J257" s="4">
        <v>139</v>
      </c>
      <c r="K257" s="3">
        <v>45996</v>
      </c>
    </row>
    <row r="258" spans="1:12">
      <c r="A258" t="s">
        <v>780</v>
      </c>
      <c r="B258" s="3">
        <v>45992</v>
      </c>
      <c r="C258">
        <v>10068</v>
      </c>
      <c r="D258" t="s">
        <v>250</v>
      </c>
      <c r="E258" t="s">
        <v>251</v>
      </c>
      <c r="F258" t="s">
        <v>61</v>
      </c>
      <c r="G258" t="s">
        <v>62</v>
      </c>
      <c r="H258" t="s">
        <v>34</v>
      </c>
      <c r="I258" t="s">
        <v>20</v>
      </c>
      <c r="J258" s="4">
        <v>1265</v>
      </c>
      <c r="K258" s="3">
        <v>45993</v>
      </c>
      <c r="L258" t="s">
        <v>781</v>
      </c>
    </row>
    <row r="259" spans="1:12">
      <c r="A259" t="s">
        <v>782</v>
      </c>
      <c r="B259" s="3">
        <v>45995</v>
      </c>
      <c r="D259" t="s">
        <v>82</v>
      </c>
      <c r="E259" t="s">
        <v>83</v>
      </c>
      <c r="F259" t="s">
        <v>17</v>
      </c>
      <c r="G259" t="s">
        <v>119</v>
      </c>
      <c r="H259" t="s">
        <v>34</v>
      </c>
      <c r="I259" t="s">
        <v>20</v>
      </c>
      <c r="J259" s="4">
        <v>159</v>
      </c>
      <c r="K259" s="3">
        <v>46001</v>
      </c>
    </row>
    <row r="260" spans="1:12">
      <c r="A260" t="s">
        <v>783</v>
      </c>
      <c r="B260" s="3">
        <v>45996</v>
      </c>
      <c r="D260" t="s">
        <v>784</v>
      </c>
      <c r="E260" t="s">
        <v>649</v>
      </c>
      <c r="F260" t="s">
        <v>46</v>
      </c>
      <c r="G260" t="s">
        <v>47</v>
      </c>
      <c r="H260" t="s">
        <v>53</v>
      </c>
      <c r="I260" t="s">
        <v>20</v>
      </c>
      <c r="J260" t="s">
        <v>785</v>
      </c>
      <c r="K260" s="3">
        <v>46030</v>
      </c>
    </row>
    <row r="261" spans="1:12">
      <c r="A261" t="s">
        <v>786</v>
      </c>
      <c r="B261" s="3">
        <v>45999</v>
      </c>
      <c r="C261">
        <v>10070</v>
      </c>
      <c r="D261" t="s">
        <v>82</v>
      </c>
      <c r="E261" t="s">
        <v>83</v>
      </c>
      <c r="F261" t="s">
        <v>32</v>
      </c>
      <c r="G261" t="s">
        <v>33</v>
      </c>
      <c r="H261" t="s">
        <v>28</v>
      </c>
      <c r="I261" t="s">
        <v>20</v>
      </c>
      <c r="J261" s="4">
        <v>578</v>
      </c>
      <c r="K261" s="3">
        <v>46002</v>
      </c>
    </row>
    <row r="262" spans="1:12">
      <c r="A262" t="s">
        <v>787</v>
      </c>
      <c r="B262" s="3">
        <v>45999</v>
      </c>
      <c r="C262">
        <v>10083</v>
      </c>
      <c r="D262" t="s">
        <v>692</v>
      </c>
      <c r="E262" t="s">
        <v>693</v>
      </c>
      <c r="F262" t="s">
        <v>26</v>
      </c>
      <c r="G262" t="s">
        <v>188</v>
      </c>
      <c r="H262" t="s">
        <v>28</v>
      </c>
      <c r="I262" t="s">
        <v>20</v>
      </c>
      <c r="J262" s="4">
        <v>1056</v>
      </c>
      <c r="K262" s="3">
        <v>46001</v>
      </c>
      <c r="L262" t="s">
        <v>788</v>
      </c>
    </row>
    <row r="263" spans="1:12">
      <c r="A263" t="s">
        <v>789</v>
      </c>
      <c r="B263" s="3">
        <v>45999</v>
      </c>
      <c r="C263">
        <v>10125</v>
      </c>
      <c r="D263" t="s">
        <v>790</v>
      </c>
      <c r="E263" t="s">
        <v>791</v>
      </c>
      <c r="F263" t="s">
        <v>292</v>
      </c>
      <c r="G263" t="s">
        <v>526</v>
      </c>
      <c r="H263" t="s">
        <v>19</v>
      </c>
      <c r="I263" t="s">
        <v>20</v>
      </c>
      <c r="J263" s="4">
        <v>1059</v>
      </c>
      <c r="K263" s="3">
        <v>46003</v>
      </c>
      <c r="L263" t="s">
        <v>792</v>
      </c>
    </row>
    <row r="264" spans="1:12">
      <c r="A264" t="s">
        <v>793</v>
      </c>
      <c r="B264" s="3">
        <v>46000</v>
      </c>
      <c r="D264" t="s">
        <v>794</v>
      </c>
      <c r="E264" t="s">
        <v>192</v>
      </c>
      <c r="F264" t="s">
        <v>32</v>
      </c>
      <c r="G264" t="s">
        <v>68</v>
      </c>
      <c r="H264" t="s">
        <v>19</v>
      </c>
      <c r="I264" t="s">
        <v>20</v>
      </c>
      <c r="J264" s="4">
        <v>449</v>
      </c>
      <c r="K264" s="3">
        <v>46006</v>
      </c>
      <c r="L264" t="s">
        <v>795</v>
      </c>
    </row>
    <row r="265" spans="1:12">
      <c r="A265" t="s">
        <v>796</v>
      </c>
      <c r="B265" s="3">
        <v>46002</v>
      </c>
      <c r="C265">
        <v>10002</v>
      </c>
      <c r="D265" t="s">
        <v>219</v>
      </c>
      <c r="E265" t="s">
        <v>220</v>
      </c>
      <c r="F265" t="s">
        <v>17</v>
      </c>
      <c r="G265" t="s">
        <v>18</v>
      </c>
      <c r="H265" t="s">
        <v>28</v>
      </c>
      <c r="I265" t="s">
        <v>20</v>
      </c>
      <c r="J265" s="4">
        <v>159</v>
      </c>
      <c r="K265" s="3">
        <v>46003</v>
      </c>
    </row>
    <row r="266" spans="1:12">
      <c r="A266" t="s">
        <v>797</v>
      </c>
      <c r="B266" s="3">
        <v>46002</v>
      </c>
      <c r="C266">
        <v>10013</v>
      </c>
      <c r="D266" t="s">
        <v>76</v>
      </c>
      <c r="E266" t="s">
        <v>77</v>
      </c>
      <c r="F266" t="s">
        <v>225</v>
      </c>
      <c r="G266" t="s">
        <v>226</v>
      </c>
      <c r="H266" t="s">
        <v>28</v>
      </c>
      <c r="I266" t="s">
        <v>20</v>
      </c>
      <c r="J266" s="4">
        <v>420</v>
      </c>
      <c r="K266" s="3">
        <v>46006</v>
      </c>
    </row>
    <row r="267" spans="1:12">
      <c r="A267" t="s">
        <v>798</v>
      </c>
      <c r="B267" s="3">
        <v>46006</v>
      </c>
      <c r="C267">
        <v>10103</v>
      </c>
      <c r="D267" t="s">
        <v>799</v>
      </c>
      <c r="E267" t="s">
        <v>800</v>
      </c>
      <c r="F267" t="s">
        <v>51</v>
      </c>
      <c r="G267" t="s">
        <v>73</v>
      </c>
      <c r="H267" t="s">
        <v>604</v>
      </c>
      <c r="I267" t="s">
        <v>20</v>
      </c>
      <c r="J267" s="4">
        <v>8816</v>
      </c>
      <c r="K267" s="3">
        <v>46055</v>
      </c>
      <c r="L267" t="s">
        <v>801</v>
      </c>
    </row>
    <row r="268" spans="1:12">
      <c r="A268" t="s">
        <v>802</v>
      </c>
      <c r="B268" s="3">
        <v>46007</v>
      </c>
      <c r="C268">
        <v>10013</v>
      </c>
      <c r="D268" t="s">
        <v>803</v>
      </c>
      <c r="E268" t="s">
        <v>390</v>
      </c>
      <c r="F268" t="s">
        <v>32</v>
      </c>
      <c r="G268" t="s">
        <v>435</v>
      </c>
      <c r="H268" t="s">
        <v>34</v>
      </c>
      <c r="I268" t="s">
        <v>20</v>
      </c>
      <c r="J268" s="4">
        <v>601</v>
      </c>
      <c r="K268" s="3">
        <v>46008</v>
      </c>
      <c r="L268" t="s">
        <v>804</v>
      </c>
    </row>
    <row r="269" spans="1:12">
      <c r="A269" t="s">
        <v>805</v>
      </c>
      <c r="B269" s="3">
        <v>46007</v>
      </c>
      <c r="C269">
        <v>10016</v>
      </c>
      <c r="D269" t="s">
        <v>806</v>
      </c>
      <c r="E269" t="s">
        <v>807</v>
      </c>
      <c r="F269" t="s">
        <v>51</v>
      </c>
      <c r="G269" t="s">
        <v>151</v>
      </c>
      <c r="H269" t="s">
        <v>663</v>
      </c>
      <c r="I269" t="s">
        <v>20</v>
      </c>
      <c r="J269" s="4">
        <v>15628</v>
      </c>
      <c r="K269" s="3">
        <v>46029</v>
      </c>
      <c r="L269" t="s">
        <v>808</v>
      </c>
    </row>
    <row r="270" spans="1:12">
      <c r="A270" t="s">
        <v>809</v>
      </c>
      <c r="B270" s="3">
        <v>46008</v>
      </c>
      <c r="D270" t="s">
        <v>597</v>
      </c>
      <c r="E270" t="s">
        <v>387</v>
      </c>
      <c r="F270" t="s">
        <v>17</v>
      </c>
      <c r="G270" t="s">
        <v>18</v>
      </c>
      <c r="H270" t="s">
        <v>28</v>
      </c>
      <c r="I270" t="s">
        <v>20</v>
      </c>
      <c r="J270" s="4">
        <v>139</v>
      </c>
      <c r="K270" s="3">
        <v>46008</v>
      </c>
      <c r="L270" t="s">
        <v>810</v>
      </c>
    </row>
    <row r="271" spans="1:12">
      <c r="A271" t="s">
        <v>811</v>
      </c>
      <c r="B271" s="3">
        <v>46009</v>
      </c>
      <c r="D271" t="s">
        <v>812</v>
      </c>
      <c r="E271" t="s">
        <v>813</v>
      </c>
      <c r="F271" t="s">
        <v>46</v>
      </c>
      <c r="G271" t="s">
        <v>183</v>
      </c>
      <c r="H271" t="s">
        <v>48</v>
      </c>
      <c r="I271" t="s">
        <v>20</v>
      </c>
      <c r="J271" s="4">
        <v>15989</v>
      </c>
      <c r="K271" s="3">
        <v>46052</v>
      </c>
    </row>
    <row r="272" spans="1:12">
      <c r="A272" t="s">
        <v>814</v>
      </c>
      <c r="B272" s="3">
        <v>46013</v>
      </c>
      <c r="D272" t="s">
        <v>76</v>
      </c>
      <c r="E272" t="s">
        <v>77</v>
      </c>
      <c r="F272" t="s">
        <v>225</v>
      </c>
      <c r="G272" t="s">
        <v>297</v>
      </c>
      <c r="H272" t="s">
        <v>34</v>
      </c>
      <c r="I272" t="s">
        <v>20</v>
      </c>
      <c r="J272" s="4">
        <v>472</v>
      </c>
      <c r="K272" s="3">
        <v>46015</v>
      </c>
      <c r="L272" t="s">
        <v>815</v>
      </c>
    </row>
    <row r="273" spans="1:12">
      <c r="A273" t="s">
        <v>816</v>
      </c>
      <c r="B273" s="3">
        <v>46013</v>
      </c>
      <c r="C273">
        <v>10099</v>
      </c>
      <c r="D273" t="s">
        <v>636</v>
      </c>
      <c r="E273" t="s">
        <v>410</v>
      </c>
      <c r="F273" t="s">
        <v>17</v>
      </c>
      <c r="G273" t="s">
        <v>119</v>
      </c>
      <c r="H273" t="s">
        <v>19</v>
      </c>
      <c r="I273" t="s">
        <v>20</v>
      </c>
      <c r="J273" s="4">
        <v>139</v>
      </c>
      <c r="K273" s="3">
        <v>46015</v>
      </c>
      <c r="L273" t="s">
        <v>817</v>
      </c>
    </row>
    <row r="274" spans="1:12">
      <c r="D274" s="5" t="s">
        <v>818</v>
      </c>
      <c r="J274" s="6">
        <f>SUBTOTAL(9,J257:J273)</f>
        <v>47068.0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8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sheetData>
    <row r="1" spans="1:12">
      <c r="A1" s="1" t="s">
        <v>819</v>
      </c>
    </row>
    <row r="2" spans="1:12">
      <c r="A2" t="s">
        <v>1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t="s">
        <v>820</v>
      </c>
      <c r="B4" s="3">
        <v>46027</v>
      </c>
      <c r="C4">
        <v>10010</v>
      </c>
      <c r="D4" t="s">
        <v>587</v>
      </c>
      <c r="E4" t="s">
        <v>588</v>
      </c>
      <c r="F4" t="s">
        <v>61</v>
      </c>
      <c r="G4" t="s">
        <v>181</v>
      </c>
      <c r="H4" t="s">
        <v>34</v>
      </c>
      <c r="I4" t="s">
        <v>20</v>
      </c>
      <c r="J4" s="4">
        <v>1752</v>
      </c>
      <c r="K4" s="3">
        <v>46031</v>
      </c>
    </row>
    <row r="5" spans="1:12">
      <c r="A5" t="s">
        <v>821</v>
      </c>
      <c r="B5" t="s">
        <v>822</v>
      </c>
      <c r="D5" t="s">
        <v>71</v>
      </c>
      <c r="E5" t="s">
        <v>72</v>
      </c>
      <c r="F5" t="s">
        <v>17</v>
      </c>
      <c r="G5" t="s">
        <v>78</v>
      </c>
      <c r="H5" t="s">
        <v>40</v>
      </c>
      <c r="I5" t="s">
        <v>20</v>
      </c>
      <c r="J5" s="4">
        <v>139</v>
      </c>
      <c r="K5" s="3">
        <v>46028</v>
      </c>
      <c r="L5" t="s">
        <v>823</v>
      </c>
    </row>
    <row r="6" spans="1:12">
      <c r="A6" t="s">
        <v>824</v>
      </c>
      <c r="B6" s="3">
        <v>46027</v>
      </c>
      <c r="C6">
        <v>10097</v>
      </c>
      <c r="D6" t="s">
        <v>15</v>
      </c>
      <c r="E6" t="s">
        <v>16</v>
      </c>
      <c r="F6" t="s">
        <v>51</v>
      </c>
      <c r="G6" t="s">
        <v>151</v>
      </c>
      <c r="H6" t="s">
        <v>53</v>
      </c>
      <c r="I6" t="s">
        <v>20</v>
      </c>
      <c r="J6" s="4">
        <v>14903</v>
      </c>
      <c r="K6" s="3">
        <v>46045</v>
      </c>
    </row>
    <row r="7" spans="1:12">
      <c r="A7" t="s">
        <v>825</v>
      </c>
      <c r="B7" t="s">
        <v>822</v>
      </c>
      <c r="C7">
        <v>10101</v>
      </c>
      <c r="D7" t="s">
        <v>826</v>
      </c>
      <c r="E7" t="s">
        <v>827</v>
      </c>
      <c r="F7" t="s">
        <v>32</v>
      </c>
      <c r="G7" t="s">
        <v>33</v>
      </c>
      <c r="H7" t="s">
        <v>199</v>
      </c>
      <c r="I7" t="s">
        <v>20</v>
      </c>
      <c r="J7" s="4">
        <v>268</v>
      </c>
      <c r="K7" s="3">
        <v>46030</v>
      </c>
      <c r="L7" t="s">
        <v>828</v>
      </c>
    </row>
    <row r="8" spans="1:12">
      <c r="A8" t="s">
        <v>829</v>
      </c>
      <c r="B8" s="3">
        <v>46031</v>
      </c>
      <c r="C8">
        <v>10019</v>
      </c>
      <c r="D8" t="s">
        <v>770</v>
      </c>
      <c r="E8" t="s">
        <v>771</v>
      </c>
      <c r="F8" t="s">
        <v>17</v>
      </c>
      <c r="G8" t="s">
        <v>88</v>
      </c>
      <c r="H8" t="s">
        <v>34</v>
      </c>
      <c r="I8" t="s">
        <v>20</v>
      </c>
      <c r="J8" t="s">
        <v>361</v>
      </c>
      <c r="K8" s="3">
        <v>46031</v>
      </c>
    </row>
    <row r="9" spans="1:12">
      <c r="A9" t="s">
        <v>830</v>
      </c>
      <c r="B9" s="3">
        <v>46034</v>
      </c>
      <c r="C9">
        <v>10030</v>
      </c>
      <c r="D9" t="s">
        <v>154</v>
      </c>
      <c r="E9" t="s">
        <v>107</v>
      </c>
      <c r="F9" t="s">
        <v>51</v>
      </c>
      <c r="G9" t="s">
        <v>73</v>
      </c>
      <c r="H9" t="s">
        <v>604</v>
      </c>
      <c r="I9" t="s">
        <v>20</v>
      </c>
      <c r="J9" t="s">
        <v>831</v>
      </c>
      <c r="K9" s="3">
        <v>46078</v>
      </c>
    </row>
    <row r="10" spans="1:12">
      <c r="A10" t="s">
        <v>832</v>
      </c>
      <c r="B10" s="3">
        <v>46034</v>
      </c>
      <c r="D10" t="s">
        <v>371</v>
      </c>
      <c r="E10" t="s">
        <v>285</v>
      </c>
      <c r="F10" t="s">
        <v>51</v>
      </c>
      <c r="G10" t="s">
        <v>73</v>
      </c>
      <c r="H10" t="s">
        <v>604</v>
      </c>
      <c r="I10" t="s">
        <v>20</v>
      </c>
      <c r="J10" s="4">
        <v>13245</v>
      </c>
      <c r="K10" s="3">
        <v>46083</v>
      </c>
      <c r="L10" t="s">
        <v>833</v>
      </c>
    </row>
    <row r="11" spans="1:12">
      <c r="A11" t="s">
        <v>834</v>
      </c>
      <c r="B11" s="3">
        <v>46034</v>
      </c>
      <c r="C11">
        <v>10064</v>
      </c>
      <c r="D11" t="s">
        <v>835</v>
      </c>
      <c r="E11" t="s">
        <v>836</v>
      </c>
      <c r="F11" t="s">
        <v>292</v>
      </c>
      <c r="G11" t="s">
        <v>293</v>
      </c>
      <c r="H11" t="s">
        <v>19</v>
      </c>
      <c r="I11" t="s">
        <v>20</v>
      </c>
      <c r="J11" s="4">
        <v>1358</v>
      </c>
      <c r="K11" s="3">
        <v>46036</v>
      </c>
      <c r="L11" t="s">
        <v>837</v>
      </c>
    </row>
    <row r="12" spans="1:12">
      <c r="A12" t="s">
        <v>838</v>
      </c>
      <c r="B12" t="s">
        <v>839</v>
      </c>
      <c r="C12">
        <v>10066</v>
      </c>
      <c r="D12" t="s">
        <v>840</v>
      </c>
      <c r="E12" t="s">
        <v>471</v>
      </c>
      <c r="F12" t="s">
        <v>32</v>
      </c>
      <c r="G12" t="s">
        <v>103</v>
      </c>
      <c r="H12" t="s">
        <v>28</v>
      </c>
      <c r="I12" t="s">
        <v>20</v>
      </c>
      <c r="J12" t="s">
        <v>841</v>
      </c>
      <c r="K12" s="3">
        <v>46035</v>
      </c>
      <c r="L12" t="s">
        <v>842</v>
      </c>
    </row>
    <row r="13" spans="1:12">
      <c r="A13" t="s">
        <v>843</v>
      </c>
      <c r="B13" s="3">
        <v>46034</v>
      </c>
      <c r="C13">
        <v>10070</v>
      </c>
      <c r="D13" t="s">
        <v>82</v>
      </c>
      <c r="E13" t="s">
        <v>83</v>
      </c>
      <c r="F13" t="s">
        <v>26</v>
      </c>
      <c r="G13" t="s">
        <v>146</v>
      </c>
      <c r="H13" t="s">
        <v>19</v>
      </c>
      <c r="I13" t="s">
        <v>20</v>
      </c>
      <c r="J13" s="4">
        <v>923</v>
      </c>
      <c r="K13" s="3">
        <v>46036</v>
      </c>
      <c r="L13" t="s">
        <v>844</v>
      </c>
    </row>
    <row r="14" spans="1:12">
      <c r="A14" t="s">
        <v>845</v>
      </c>
      <c r="B14" s="3">
        <v>46034</v>
      </c>
      <c r="D14" t="s">
        <v>846</v>
      </c>
      <c r="E14" t="s">
        <v>847</v>
      </c>
      <c r="F14" t="s">
        <v>46</v>
      </c>
      <c r="G14" t="s">
        <v>47</v>
      </c>
      <c r="H14" t="s">
        <v>604</v>
      </c>
      <c r="I14" t="s">
        <v>20</v>
      </c>
      <c r="J14" s="4">
        <v>21082</v>
      </c>
      <c r="K14" s="3">
        <v>46058</v>
      </c>
      <c r="L14" t="s">
        <v>848</v>
      </c>
    </row>
    <row r="15" spans="1:12">
      <c r="A15" t="s">
        <v>849</v>
      </c>
      <c r="B15" s="3">
        <v>46034</v>
      </c>
      <c r="C15">
        <v>10080</v>
      </c>
      <c r="D15" t="s">
        <v>850</v>
      </c>
      <c r="E15" t="s">
        <v>851</v>
      </c>
      <c r="F15" t="s">
        <v>17</v>
      </c>
      <c r="G15" t="s">
        <v>88</v>
      </c>
      <c r="H15" t="s">
        <v>40</v>
      </c>
      <c r="I15" t="s">
        <v>20</v>
      </c>
      <c r="J15" s="4">
        <v>149</v>
      </c>
      <c r="K15" s="3">
        <v>46036</v>
      </c>
      <c r="L15" t="s">
        <v>852</v>
      </c>
    </row>
    <row r="16" spans="1:12">
      <c r="A16" t="s">
        <v>853</v>
      </c>
      <c r="B16" t="s">
        <v>854</v>
      </c>
      <c r="C16">
        <v>10024</v>
      </c>
      <c r="D16" t="s">
        <v>113</v>
      </c>
      <c r="E16" t="s">
        <v>114</v>
      </c>
      <c r="F16" t="s">
        <v>26</v>
      </c>
      <c r="G16" t="s">
        <v>146</v>
      </c>
      <c r="H16" t="s">
        <v>28</v>
      </c>
      <c r="I16" t="s">
        <v>20</v>
      </c>
      <c r="J16" t="s">
        <v>841</v>
      </c>
      <c r="K16" t="s">
        <v>855</v>
      </c>
      <c r="L16" t="s">
        <v>856</v>
      </c>
    </row>
    <row r="17" spans="1:12">
      <c r="A17" t="s">
        <v>857</v>
      </c>
      <c r="B17" s="3">
        <v>46035</v>
      </c>
      <c r="C17">
        <v>10070</v>
      </c>
      <c r="D17" t="s">
        <v>82</v>
      </c>
      <c r="E17" t="s">
        <v>83</v>
      </c>
      <c r="F17" t="s">
        <v>17</v>
      </c>
      <c r="G17" t="s">
        <v>18</v>
      </c>
      <c r="H17" t="s">
        <v>28</v>
      </c>
      <c r="I17" t="s">
        <v>20</v>
      </c>
      <c r="J17" t="s">
        <v>361</v>
      </c>
      <c r="K17" s="3">
        <v>46041</v>
      </c>
    </row>
    <row r="18" spans="1:12">
      <c r="A18" t="s">
        <v>858</v>
      </c>
      <c r="B18" s="3">
        <v>46035</v>
      </c>
      <c r="C18">
        <v>10110</v>
      </c>
      <c r="D18" t="s">
        <v>859</v>
      </c>
      <c r="E18" t="s">
        <v>289</v>
      </c>
      <c r="F18" t="s">
        <v>17</v>
      </c>
      <c r="G18" t="s">
        <v>18</v>
      </c>
      <c r="H18" t="s">
        <v>28</v>
      </c>
      <c r="I18" t="s">
        <v>20</v>
      </c>
      <c r="J18" s="4">
        <v>189</v>
      </c>
      <c r="K18" s="3">
        <v>46036</v>
      </c>
      <c r="L18" t="s">
        <v>860</v>
      </c>
    </row>
    <row r="19" spans="1:12">
      <c r="A19" t="s">
        <v>861</v>
      </c>
      <c r="B19" s="3">
        <v>46035</v>
      </c>
      <c r="C19">
        <v>10128</v>
      </c>
      <c r="D19" t="s">
        <v>648</v>
      </c>
      <c r="E19" t="s">
        <v>649</v>
      </c>
      <c r="F19" t="s">
        <v>17</v>
      </c>
      <c r="G19" t="s">
        <v>18</v>
      </c>
      <c r="H19" t="s">
        <v>28</v>
      </c>
      <c r="I19" t="s">
        <v>20</v>
      </c>
      <c r="J19" s="4">
        <v>139</v>
      </c>
      <c r="K19" s="3">
        <v>46038</v>
      </c>
      <c r="L19" t="s">
        <v>862</v>
      </c>
    </row>
    <row r="20" spans="1:12">
      <c r="A20" t="s">
        <v>863</v>
      </c>
      <c r="B20" s="3">
        <v>46036</v>
      </c>
      <c r="C20">
        <v>10103</v>
      </c>
      <c r="D20" t="s">
        <v>799</v>
      </c>
      <c r="E20" t="s">
        <v>800</v>
      </c>
      <c r="F20" t="s">
        <v>17</v>
      </c>
      <c r="G20" t="s">
        <v>78</v>
      </c>
      <c r="H20" t="s">
        <v>28</v>
      </c>
      <c r="I20" t="s">
        <v>20</v>
      </c>
      <c r="J20" t="s">
        <v>21</v>
      </c>
      <c r="K20" s="3">
        <v>46041</v>
      </c>
      <c r="L20" t="s">
        <v>864</v>
      </c>
    </row>
    <row r="21" spans="1:12">
      <c r="A21" t="s">
        <v>865</v>
      </c>
      <c r="B21" t="s">
        <v>866</v>
      </c>
      <c r="C21">
        <v>10016</v>
      </c>
      <c r="D21" t="s">
        <v>806</v>
      </c>
      <c r="E21" t="s">
        <v>807</v>
      </c>
      <c r="F21" t="s">
        <v>17</v>
      </c>
      <c r="G21" t="s">
        <v>119</v>
      </c>
      <c r="H21" t="s">
        <v>28</v>
      </c>
      <c r="I21" t="s">
        <v>20</v>
      </c>
      <c r="J21" s="4">
        <v>139</v>
      </c>
      <c r="K21" s="3">
        <v>46042</v>
      </c>
      <c r="L21" t="s">
        <v>867</v>
      </c>
    </row>
    <row r="22" spans="1:12">
      <c r="A22" t="s">
        <v>868</v>
      </c>
      <c r="B22" s="3">
        <v>46041</v>
      </c>
      <c r="C22">
        <v>10082</v>
      </c>
      <c r="D22" t="s">
        <v>66</v>
      </c>
      <c r="E22" t="s">
        <v>869</v>
      </c>
      <c r="F22" t="s">
        <v>17</v>
      </c>
      <c r="G22" t="s">
        <v>18</v>
      </c>
      <c r="H22" t="s">
        <v>28</v>
      </c>
      <c r="I22" t="s">
        <v>20</v>
      </c>
      <c r="J22" t="s">
        <v>870</v>
      </c>
      <c r="K22" s="3">
        <v>46041</v>
      </c>
      <c r="L22" t="s">
        <v>871</v>
      </c>
    </row>
    <row r="23" spans="1:12">
      <c r="A23" t="s">
        <v>872</v>
      </c>
      <c r="B23" s="3">
        <v>46041</v>
      </c>
      <c r="C23">
        <v>10103</v>
      </c>
      <c r="D23" t="s">
        <v>799</v>
      </c>
      <c r="E23" t="s">
        <v>800</v>
      </c>
      <c r="F23" t="s">
        <v>17</v>
      </c>
      <c r="G23" t="s">
        <v>119</v>
      </c>
      <c r="H23" t="s">
        <v>28</v>
      </c>
      <c r="I23" t="s">
        <v>20</v>
      </c>
      <c r="J23" s="4">
        <v>139</v>
      </c>
      <c r="K23" t="s">
        <v>79</v>
      </c>
      <c r="L23" t="s">
        <v>873</v>
      </c>
    </row>
    <row r="24" spans="1:12">
      <c r="A24" t="s">
        <v>874</v>
      </c>
      <c r="B24" s="3">
        <v>46042</v>
      </c>
      <c r="D24" t="s">
        <v>875</v>
      </c>
      <c r="E24" t="s">
        <v>744</v>
      </c>
      <c r="F24" t="s">
        <v>17</v>
      </c>
      <c r="G24" t="s">
        <v>88</v>
      </c>
      <c r="H24" t="s">
        <v>28</v>
      </c>
      <c r="I24" t="s">
        <v>20</v>
      </c>
      <c r="J24" t="s">
        <v>361</v>
      </c>
      <c r="K24" s="3">
        <v>46042</v>
      </c>
      <c r="L24" t="s">
        <v>876</v>
      </c>
    </row>
    <row r="25" spans="1:12">
      <c r="A25" t="s">
        <v>877</v>
      </c>
      <c r="B25" t="s">
        <v>878</v>
      </c>
      <c r="D25" t="s">
        <v>522</v>
      </c>
      <c r="E25" t="s">
        <v>265</v>
      </c>
      <c r="F25" t="s">
        <v>61</v>
      </c>
      <c r="G25" t="s">
        <v>172</v>
      </c>
      <c r="H25" t="s">
        <v>28</v>
      </c>
      <c r="I25" t="s">
        <v>63</v>
      </c>
      <c r="J25" s="4">
        <v>843</v>
      </c>
    </row>
    <row r="26" spans="1:12">
      <c r="A26" t="s">
        <v>879</v>
      </c>
      <c r="B26" t="s">
        <v>880</v>
      </c>
      <c r="C26">
        <v>10030</v>
      </c>
      <c r="D26" t="s">
        <v>154</v>
      </c>
      <c r="E26" t="s">
        <v>107</v>
      </c>
      <c r="F26" t="s">
        <v>61</v>
      </c>
      <c r="G26" t="s">
        <v>124</v>
      </c>
      <c r="H26" t="s">
        <v>28</v>
      </c>
      <c r="I26" t="s">
        <v>20</v>
      </c>
      <c r="J26" t="s">
        <v>841</v>
      </c>
      <c r="K26" s="3">
        <v>46049</v>
      </c>
      <c r="L26" t="s">
        <v>881</v>
      </c>
    </row>
    <row r="27" spans="1:12">
      <c r="A27" t="s">
        <v>882</v>
      </c>
      <c r="B27" s="3">
        <v>46044</v>
      </c>
      <c r="C27">
        <v>10035</v>
      </c>
      <c r="D27" t="s">
        <v>883</v>
      </c>
      <c r="E27" t="s">
        <v>884</v>
      </c>
      <c r="F27" t="s">
        <v>17</v>
      </c>
      <c r="G27" t="s">
        <v>18</v>
      </c>
      <c r="H27" t="s">
        <v>28</v>
      </c>
      <c r="I27" t="s">
        <v>20</v>
      </c>
      <c r="J27" s="4">
        <v>159</v>
      </c>
      <c r="K27" s="3">
        <v>46045</v>
      </c>
      <c r="L27" t="s">
        <v>885</v>
      </c>
    </row>
    <row r="28" spans="1:12">
      <c r="A28" t="s">
        <v>886</v>
      </c>
      <c r="B28" s="3">
        <v>46044</v>
      </c>
      <c r="C28">
        <v>10072</v>
      </c>
      <c r="D28" t="s">
        <v>176</v>
      </c>
      <c r="E28" t="s">
        <v>177</v>
      </c>
      <c r="F28" t="s">
        <v>26</v>
      </c>
      <c r="G28" t="s">
        <v>27</v>
      </c>
      <c r="H28" t="s">
        <v>40</v>
      </c>
      <c r="I28" t="s">
        <v>20</v>
      </c>
      <c r="J28" s="4">
        <v>578</v>
      </c>
      <c r="K28" s="3">
        <v>46045</v>
      </c>
      <c r="L28" t="s">
        <v>887</v>
      </c>
    </row>
    <row r="29" spans="1:12">
      <c r="A29" t="s">
        <v>888</v>
      </c>
      <c r="B29" s="3">
        <v>46045</v>
      </c>
      <c r="C29">
        <v>10075</v>
      </c>
      <c r="D29" t="s">
        <v>889</v>
      </c>
      <c r="E29" t="s">
        <v>137</v>
      </c>
      <c r="F29" t="s">
        <v>26</v>
      </c>
      <c r="G29" t="s">
        <v>302</v>
      </c>
      <c r="H29" t="s">
        <v>28</v>
      </c>
      <c r="I29" t="s">
        <v>20</v>
      </c>
      <c r="J29" s="4">
        <v>534</v>
      </c>
      <c r="K29" s="3">
        <v>46051</v>
      </c>
      <c r="L29" t="s">
        <v>890</v>
      </c>
    </row>
    <row r="30" spans="1:12">
      <c r="A30" t="s">
        <v>891</v>
      </c>
      <c r="B30" s="3">
        <v>46045</v>
      </c>
      <c r="C30">
        <v>10121</v>
      </c>
      <c r="D30" t="s">
        <v>659</v>
      </c>
      <c r="E30" t="s">
        <v>660</v>
      </c>
      <c r="F30" t="s">
        <v>26</v>
      </c>
      <c r="G30" t="s">
        <v>108</v>
      </c>
      <c r="H30" t="s">
        <v>34</v>
      </c>
      <c r="I30" t="s">
        <v>63</v>
      </c>
    </row>
    <row r="31" spans="1:12">
      <c r="A31" t="s">
        <v>892</v>
      </c>
      <c r="B31" s="3">
        <v>46048</v>
      </c>
      <c r="C31">
        <v>10027</v>
      </c>
      <c r="D31" t="s">
        <v>30</v>
      </c>
      <c r="E31" t="s">
        <v>198</v>
      </c>
      <c r="F31" t="s">
        <v>32</v>
      </c>
      <c r="G31" t="s">
        <v>103</v>
      </c>
      <c r="H31" t="s">
        <v>28</v>
      </c>
      <c r="I31" t="s">
        <v>20</v>
      </c>
      <c r="J31" s="4">
        <v>484</v>
      </c>
      <c r="K31" s="3">
        <v>46050</v>
      </c>
      <c r="L31" t="s">
        <v>893</v>
      </c>
    </row>
    <row r="32" spans="1:12">
      <c r="A32" t="s">
        <v>894</v>
      </c>
      <c r="B32" s="3">
        <v>46049</v>
      </c>
      <c r="C32">
        <v>10032</v>
      </c>
      <c r="D32" t="s">
        <v>895</v>
      </c>
      <c r="E32" t="s">
        <v>246</v>
      </c>
      <c r="F32" t="s">
        <v>17</v>
      </c>
      <c r="G32" t="s">
        <v>78</v>
      </c>
      <c r="H32" t="s">
        <v>19</v>
      </c>
      <c r="I32" t="s">
        <v>20</v>
      </c>
      <c r="J32" s="4">
        <v>139</v>
      </c>
      <c r="K32" s="3">
        <v>46049</v>
      </c>
      <c r="L32" t="s">
        <v>896</v>
      </c>
    </row>
    <row r="33" spans="1:12">
      <c r="A33" t="s">
        <v>897</v>
      </c>
      <c r="B33" s="3">
        <v>46049</v>
      </c>
      <c r="C33">
        <v>10053</v>
      </c>
      <c r="D33" t="s">
        <v>425</v>
      </c>
      <c r="E33" t="s">
        <v>426</v>
      </c>
      <c r="F33" t="s">
        <v>17</v>
      </c>
      <c r="G33" t="s">
        <v>88</v>
      </c>
      <c r="H33" t="s">
        <v>34</v>
      </c>
      <c r="I33" t="s">
        <v>20</v>
      </c>
      <c r="J33" s="4">
        <v>189</v>
      </c>
      <c r="K33" s="3">
        <v>46049</v>
      </c>
      <c r="L33" t="s">
        <v>898</v>
      </c>
    </row>
    <row r="34" spans="1:12">
      <c r="A34" t="s">
        <v>899</v>
      </c>
      <c r="B34" s="3">
        <v>46050</v>
      </c>
      <c r="C34">
        <v>10136</v>
      </c>
      <c r="D34" t="s">
        <v>505</v>
      </c>
      <c r="E34" t="s">
        <v>506</v>
      </c>
      <c r="F34" t="s">
        <v>17</v>
      </c>
      <c r="G34" t="s">
        <v>88</v>
      </c>
      <c r="H34" t="s">
        <v>19</v>
      </c>
      <c r="I34" t="s">
        <v>74</v>
      </c>
      <c r="J34" t="s">
        <v>361</v>
      </c>
      <c r="K34" s="3">
        <v>46050</v>
      </c>
    </row>
    <row r="35" spans="1:12">
      <c r="A35" t="s">
        <v>900</v>
      </c>
      <c r="B35" s="3">
        <v>46051</v>
      </c>
      <c r="C35">
        <v>10024</v>
      </c>
      <c r="D35" t="s">
        <v>901</v>
      </c>
      <c r="E35" t="s">
        <v>114</v>
      </c>
      <c r="F35" t="s">
        <v>51</v>
      </c>
      <c r="G35" t="s">
        <v>52</v>
      </c>
      <c r="H35" t="s">
        <v>48</v>
      </c>
      <c r="I35" t="s">
        <v>20</v>
      </c>
      <c r="J35" s="4">
        <v>15862</v>
      </c>
      <c r="K35" s="3">
        <v>46079</v>
      </c>
      <c r="L35" t="s">
        <v>902</v>
      </c>
    </row>
    <row r="36" spans="1:12">
      <c r="A36" t="s">
        <v>903</v>
      </c>
      <c r="B36" t="s">
        <v>904</v>
      </c>
      <c r="C36">
        <v>10056</v>
      </c>
      <c r="D36" t="s">
        <v>333</v>
      </c>
      <c r="E36" t="s">
        <v>334</v>
      </c>
      <c r="F36" t="s">
        <v>233</v>
      </c>
      <c r="G36" t="s">
        <v>365</v>
      </c>
      <c r="H36" t="s">
        <v>604</v>
      </c>
      <c r="I36" t="s">
        <v>20</v>
      </c>
      <c r="J36" s="4">
        <v>41417</v>
      </c>
      <c r="K36" s="3">
        <v>46086</v>
      </c>
    </row>
    <row r="37" spans="1:12">
      <c r="A37" t="s">
        <v>905</v>
      </c>
      <c r="B37" t="s">
        <v>906</v>
      </c>
      <c r="C37">
        <v>10067</v>
      </c>
      <c r="D37" t="s">
        <v>907</v>
      </c>
      <c r="E37" t="s">
        <v>455</v>
      </c>
      <c r="F37" t="s">
        <v>26</v>
      </c>
      <c r="G37" t="s">
        <v>188</v>
      </c>
      <c r="H37" t="s">
        <v>19</v>
      </c>
      <c r="I37" t="s">
        <v>20</v>
      </c>
      <c r="J37" s="4">
        <v>959</v>
      </c>
      <c r="K37" s="3">
        <v>46052</v>
      </c>
      <c r="L37" t="s">
        <v>908</v>
      </c>
    </row>
    <row r="38" spans="1:12">
      <c r="A38" t="s">
        <v>909</v>
      </c>
      <c r="B38" t="s">
        <v>910</v>
      </c>
      <c r="C38">
        <v>10045</v>
      </c>
      <c r="D38" t="s">
        <v>264</v>
      </c>
      <c r="E38" t="s">
        <v>265</v>
      </c>
      <c r="F38" t="s">
        <v>26</v>
      </c>
      <c r="G38" t="s">
        <v>155</v>
      </c>
      <c r="H38" t="s">
        <v>34</v>
      </c>
      <c r="I38" t="s">
        <v>20</v>
      </c>
      <c r="J38" s="4">
        <v>374</v>
      </c>
      <c r="K38" s="3">
        <v>46052</v>
      </c>
      <c r="L38" t="s">
        <v>911</v>
      </c>
    </row>
    <row r="39" spans="1:12">
      <c r="A39" t="s">
        <v>912</v>
      </c>
      <c r="B39" s="3">
        <v>46052</v>
      </c>
      <c r="C39">
        <v>10050</v>
      </c>
      <c r="D39" t="s">
        <v>95</v>
      </c>
      <c r="E39" t="s">
        <v>364</v>
      </c>
      <c r="F39" t="s">
        <v>225</v>
      </c>
      <c r="G39" t="s">
        <v>226</v>
      </c>
      <c r="H39" t="s">
        <v>34</v>
      </c>
      <c r="I39" t="s">
        <v>20</v>
      </c>
      <c r="J39" s="4">
        <v>420</v>
      </c>
      <c r="K39" s="3">
        <v>46058</v>
      </c>
    </row>
    <row r="40" spans="1:12">
      <c r="A40" t="s">
        <v>913</v>
      </c>
      <c r="B40" s="3">
        <v>46052</v>
      </c>
      <c r="C40">
        <v>10065</v>
      </c>
      <c r="D40" t="s">
        <v>564</v>
      </c>
      <c r="E40" t="s">
        <v>565</v>
      </c>
      <c r="F40" t="s">
        <v>61</v>
      </c>
      <c r="G40" t="s">
        <v>181</v>
      </c>
      <c r="H40" t="s">
        <v>19</v>
      </c>
      <c r="I40" t="s">
        <v>20</v>
      </c>
      <c r="J40" s="4">
        <v>532</v>
      </c>
      <c r="K40" s="3">
        <v>46058</v>
      </c>
      <c r="L40" t="s">
        <v>914</v>
      </c>
    </row>
    <row r="41" spans="1:12">
      <c r="A41" t="s">
        <v>915</v>
      </c>
      <c r="B41" s="3">
        <v>46052</v>
      </c>
      <c r="D41" t="s">
        <v>916</v>
      </c>
      <c r="E41" t="s">
        <v>387</v>
      </c>
      <c r="F41" t="s">
        <v>51</v>
      </c>
      <c r="G41" t="s">
        <v>151</v>
      </c>
      <c r="H41" t="s">
        <v>48</v>
      </c>
      <c r="I41" t="s">
        <v>20</v>
      </c>
      <c r="J41" s="4">
        <v>13667</v>
      </c>
      <c r="K41" s="3">
        <v>46099</v>
      </c>
      <c r="L41" t="s">
        <v>917</v>
      </c>
    </row>
    <row r="42" spans="1:12">
      <c r="D42" s="5" t="s">
        <v>918</v>
      </c>
      <c r="J42" s="6">
        <f>SUBTOTAL(9,J4:J41)</f>
        <v>130582.0</v>
      </c>
    </row>
    <row r="44" spans="1:12">
      <c r="A44" t="s">
        <v>919</v>
      </c>
      <c r="B44" t="s">
        <v>920</v>
      </c>
      <c r="C44">
        <v>10083</v>
      </c>
      <c r="D44" t="s">
        <v>921</v>
      </c>
      <c r="E44" t="s">
        <v>693</v>
      </c>
      <c r="F44" t="s">
        <v>17</v>
      </c>
      <c r="G44" t="s">
        <v>78</v>
      </c>
      <c r="H44" t="s">
        <v>28</v>
      </c>
      <c r="I44" t="s">
        <v>20</v>
      </c>
      <c r="J44" s="4">
        <v>159</v>
      </c>
      <c r="K44" s="3">
        <v>46055</v>
      </c>
    </row>
    <row r="45" spans="1:12">
      <c r="A45" t="s">
        <v>922</v>
      </c>
      <c r="B45" t="s">
        <v>923</v>
      </c>
      <c r="C45">
        <v>10023</v>
      </c>
      <c r="D45" t="s">
        <v>228</v>
      </c>
      <c r="E45" t="s">
        <v>130</v>
      </c>
      <c r="F45" t="s">
        <v>32</v>
      </c>
      <c r="G45" t="s">
        <v>33</v>
      </c>
      <c r="H45" t="s">
        <v>28</v>
      </c>
      <c r="I45" t="s">
        <v>20</v>
      </c>
      <c r="J45" s="4">
        <v>259</v>
      </c>
      <c r="K45" s="3">
        <v>46056</v>
      </c>
      <c r="L45" t="s">
        <v>924</v>
      </c>
    </row>
    <row r="46" spans="1:12">
      <c r="A46" t="s">
        <v>925</v>
      </c>
      <c r="B46" t="s">
        <v>926</v>
      </c>
      <c r="C46">
        <v>10056</v>
      </c>
      <c r="D46" t="s">
        <v>333</v>
      </c>
      <c r="E46" t="s">
        <v>582</v>
      </c>
      <c r="F46" t="s">
        <v>233</v>
      </c>
      <c r="G46" t="s">
        <v>234</v>
      </c>
      <c r="H46" t="s">
        <v>48</v>
      </c>
      <c r="I46" t="s">
        <v>20</v>
      </c>
      <c r="J46" s="4">
        <v>34192</v>
      </c>
      <c r="K46" s="3">
        <v>46086</v>
      </c>
    </row>
    <row r="47" spans="1:12">
      <c r="A47" t="s">
        <v>927</v>
      </c>
      <c r="B47" s="3">
        <v>46058</v>
      </c>
      <c r="C47">
        <v>10027</v>
      </c>
      <c r="D47" t="s">
        <v>30</v>
      </c>
      <c r="E47" t="s">
        <v>198</v>
      </c>
      <c r="F47" t="s">
        <v>32</v>
      </c>
      <c r="G47" t="s">
        <v>435</v>
      </c>
      <c r="H47" t="s">
        <v>40</v>
      </c>
      <c r="I47" t="s">
        <v>20</v>
      </c>
      <c r="J47" s="4">
        <v>283</v>
      </c>
      <c r="K47" s="3">
        <v>46062</v>
      </c>
      <c r="L47" t="s">
        <v>928</v>
      </c>
    </row>
    <row r="48" spans="1:12">
      <c r="A48" t="s">
        <v>929</v>
      </c>
      <c r="B48" s="3">
        <v>46062</v>
      </c>
      <c r="C48">
        <v>10045</v>
      </c>
      <c r="D48" t="s">
        <v>458</v>
      </c>
      <c r="E48" t="s">
        <v>265</v>
      </c>
      <c r="F48" t="s">
        <v>32</v>
      </c>
      <c r="G48" t="s">
        <v>33</v>
      </c>
      <c r="H48" t="s">
        <v>28</v>
      </c>
      <c r="I48" t="s">
        <v>20</v>
      </c>
      <c r="J48" s="4">
        <v>217</v>
      </c>
      <c r="K48" s="3">
        <v>46066</v>
      </c>
      <c r="L48" t="s">
        <v>930</v>
      </c>
    </row>
    <row r="49" spans="1:12">
      <c r="A49" t="s">
        <v>931</v>
      </c>
      <c r="B49" s="3">
        <v>46062</v>
      </c>
      <c r="C49">
        <v>10092</v>
      </c>
      <c r="D49" t="s">
        <v>932</v>
      </c>
      <c r="E49" t="s">
        <v>933</v>
      </c>
      <c r="F49" t="s">
        <v>26</v>
      </c>
      <c r="G49" t="s">
        <v>155</v>
      </c>
      <c r="H49" t="s">
        <v>19</v>
      </c>
      <c r="I49" t="s">
        <v>20</v>
      </c>
      <c r="J49" s="4">
        <v>1067</v>
      </c>
      <c r="K49" s="3">
        <v>46064</v>
      </c>
      <c r="L49" t="s">
        <v>934</v>
      </c>
    </row>
    <row r="50" spans="1:12">
      <c r="A50" t="s">
        <v>935</v>
      </c>
      <c r="B50" s="3">
        <v>46063</v>
      </c>
      <c r="C50">
        <v>10041</v>
      </c>
      <c r="D50" t="s">
        <v>117</v>
      </c>
      <c r="E50" t="s">
        <v>118</v>
      </c>
      <c r="F50" t="s">
        <v>225</v>
      </c>
      <c r="G50" t="s">
        <v>266</v>
      </c>
      <c r="H50" t="s">
        <v>40</v>
      </c>
      <c r="I50" t="s">
        <v>20</v>
      </c>
      <c r="J50" t="s">
        <v>936</v>
      </c>
      <c r="K50" s="3">
        <v>46063</v>
      </c>
      <c r="L50" t="s">
        <v>937</v>
      </c>
    </row>
    <row r="51" spans="1:12">
      <c r="A51" t="s">
        <v>938</v>
      </c>
      <c r="B51" t="s">
        <v>939</v>
      </c>
      <c r="C51">
        <v>10082</v>
      </c>
      <c r="D51" t="s">
        <v>66</v>
      </c>
      <c r="E51" t="s">
        <v>869</v>
      </c>
      <c r="F51" t="s">
        <v>26</v>
      </c>
      <c r="G51" t="s">
        <v>27</v>
      </c>
      <c r="H51" t="s">
        <v>40</v>
      </c>
      <c r="I51" t="s">
        <v>20</v>
      </c>
      <c r="J51" s="4">
        <v>370</v>
      </c>
      <c r="K51" s="3">
        <v>46063</v>
      </c>
    </row>
    <row r="52" spans="1:12">
      <c r="A52" t="s">
        <v>940</v>
      </c>
      <c r="B52" s="3">
        <v>46065</v>
      </c>
      <c r="D52" t="s">
        <v>573</v>
      </c>
      <c r="E52" t="s">
        <v>941</v>
      </c>
      <c r="F52" t="s">
        <v>61</v>
      </c>
      <c r="G52" t="s">
        <v>124</v>
      </c>
      <c r="H52" t="s">
        <v>28</v>
      </c>
      <c r="I52" t="s">
        <v>63</v>
      </c>
      <c r="J52" s="4">
        <v>973</v>
      </c>
    </row>
    <row r="53" spans="1:12">
      <c r="A53" t="s">
        <v>942</v>
      </c>
      <c r="B53" t="s">
        <v>943</v>
      </c>
      <c r="C53">
        <v>10127</v>
      </c>
      <c r="D53" t="s">
        <v>944</v>
      </c>
      <c r="E53" t="s">
        <v>709</v>
      </c>
      <c r="F53" t="s">
        <v>32</v>
      </c>
      <c r="G53" t="s">
        <v>103</v>
      </c>
      <c r="H53" t="s">
        <v>19</v>
      </c>
      <c r="I53" t="s">
        <v>20</v>
      </c>
      <c r="J53" t="s">
        <v>945</v>
      </c>
      <c r="K53" s="3">
        <v>46069</v>
      </c>
      <c r="L53" t="s">
        <v>946</v>
      </c>
    </row>
    <row r="54" spans="1:12">
      <c r="A54" t="s">
        <v>947</v>
      </c>
      <c r="B54" s="3">
        <v>46066</v>
      </c>
      <c r="C54">
        <v>10002</v>
      </c>
      <c r="D54" t="s">
        <v>219</v>
      </c>
      <c r="E54" t="s">
        <v>220</v>
      </c>
      <c r="F54" t="s">
        <v>17</v>
      </c>
      <c r="G54" t="s">
        <v>119</v>
      </c>
      <c r="H54" t="s">
        <v>28</v>
      </c>
      <c r="I54" t="s">
        <v>20</v>
      </c>
      <c r="J54" t="s">
        <v>260</v>
      </c>
      <c r="K54" s="3">
        <v>46071</v>
      </c>
    </row>
    <row r="55" spans="1:12">
      <c r="A55" t="s">
        <v>948</v>
      </c>
      <c r="B55" s="3">
        <v>46066</v>
      </c>
      <c r="D55" t="s">
        <v>949</v>
      </c>
      <c r="E55" t="s">
        <v>601</v>
      </c>
      <c r="F55" t="s">
        <v>61</v>
      </c>
      <c r="G55" t="s">
        <v>181</v>
      </c>
      <c r="H55" t="s">
        <v>19</v>
      </c>
      <c r="I55" t="s">
        <v>20</v>
      </c>
      <c r="J55" t="s">
        <v>950</v>
      </c>
      <c r="K55" s="3">
        <v>46071</v>
      </c>
    </row>
    <row r="56" spans="1:12">
      <c r="A56" t="s">
        <v>951</v>
      </c>
      <c r="B56" t="s">
        <v>952</v>
      </c>
      <c r="D56" t="s">
        <v>953</v>
      </c>
      <c r="E56" t="s">
        <v>640</v>
      </c>
      <c r="F56" t="s">
        <v>17</v>
      </c>
      <c r="G56" t="s">
        <v>18</v>
      </c>
      <c r="H56" t="s">
        <v>19</v>
      </c>
      <c r="I56" t="s">
        <v>20</v>
      </c>
      <c r="J56" s="4">
        <v>189</v>
      </c>
      <c r="K56" s="3">
        <v>46066</v>
      </c>
      <c r="L56" t="s">
        <v>954</v>
      </c>
    </row>
    <row r="57" spans="1:12">
      <c r="A57" t="s">
        <v>955</v>
      </c>
      <c r="B57" s="3">
        <v>46066</v>
      </c>
      <c r="C57">
        <v>10118</v>
      </c>
      <c r="D57" t="s">
        <v>669</v>
      </c>
      <c r="E57" t="s">
        <v>670</v>
      </c>
      <c r="F57" t="s">
        <v>61</v>
      </c>
      <c r="G57" t="s">
        <v>124</v>
      </c>
      <c r="H57" t="s">
        <v>368</v>
      </c>
      <c r="I57" t="s">
        <v>20</v>
      </c>
      <c r="J57" s="4">
        <v>723</v>
      </c>
      <c r="K57" s="3">
        <v>46066</v>
      </c>
    </row>
    <row r="58" spans="1:12">
      <c r="A58" t="s">
        <v>956</v>
      </c>
      <c r="B58" s="3">
        <v>46066</v>
      </c>
      <c r="C58">
        <v>10133</v>
      </c>
      <c r="D58" t="s">
        <v>319</v>
      </c>
      <c r="E58" t="s">
        <v>320</v>
      </c>
      <c r="F58" t="s">
        <v>51</v>
      </c>
      <c r="G58" t="s">
        <v>73</v>
      </c>
      <c r="H58" t="s">
        <v>604</v>
      </c>
      <c r="I58" t="s">
        <v>20</v>
      </c>
      <c r="J58" s="4">
        <v>16431</v>
      </c>
      <c r="K58" s="3">
        <v>46108</v>
      </c>
      <c r="L58" t="s">
        <v>957</v>
      </c>
    </row>
    <row r="59" spans="1:12">
      <c r="A59" t="s">
        <v>958</v>
      </c>
      <c r="B59" t="s">
        <v>959</v>
      </c>
      <c r="D59" t="s">
        <v>194</v>
      </c>
      <c r="E59" t="s">
        <v>195</v>
      </c>
      <c r="F59" t="s">
        <v>26</v>
      </c>
      <c r="G59" t="s">
        <v>27</v>
      </c>
      <c r="H59" t="s">
        <v>40</v>
      </c>
      <c r="I59" t="s">
        <v>20</v>
      </c>
      <c r="J59" s="4">
        <v>615</v>
      </c>
      <c r="K59" s="3">
        <v>46077</v>
      </c>
      <c r="L59" t="s">
        <v>960</v>
      </c>
    </row>
    <row r="60" spans="1:12">
      <c r="A60" t="s">
        <v>961</v>
      </c>
      <c r="B60" s="3">
        <v>46076</v>
      </c>
      <c r="C60">
        <v>10005</v>
      </c>
      <c r="D60" t="s">
        <v>594</v>
      </c>
      <c r="E60" t="s">
        <v>962</v>
      </c>
      <c r="F60" t="s">
        <v>32</v>
      </c>
      <c r="G60" t="s">
        <v>68</v>
      </c>
      <c r="H60" t="s">
        <v>34</v>
      </c>
      <c r="I60" t="s">
        <v>20</v>
      </c>
      <c r="J60" t="s">
        <v>963</v>
      </c>
      <c r="K60" s="3">
        <v>46076</v>
      </c>
      <c r="L60" t="s">
        <v>964</v>
      </c>
    </row>
    <row r="61" spans="1:12">
      <c r="A61" t="s">
        <v>965</v>
      </c>
      <c r="B61" s="3">
        <v>46076</v>
      </c>
      <c r="C61">
        <v>10027</v>
      </c>
      <c r="D61" t="s">
        <v>30</v>
      </c>
      <c r="E61" t="s">
        <v>296</v>
      </c>
      <c r="F61" t="s">
        <v>225</v>
      </c>
      <c r="G61" t="s">
        <v>226</v>
      </c>
      <c r="H61" t="s">
        <v>199</v>
      </c>
      <c r="I61" t="s">
        <v>20</v>
      </c>
      <c r="J61" s="4">
        <v>376</v>
      </c>
      <c r="K61" s="3">
        <v>46078</v>
      </c>
      <c r="L61" t="s">
        <v>966</v>
      </c>
    </row>
    <row r="62" spans="1:12">
      <c r="A62" t="s">
        <v>967</v>
      </c>
      <c r="B62" s="3">
        <v>46076</v>
      </c>
      <c r="C62">
        <v>10062</v>
      </c>
      <c r="D62" t="s">
        <v>968</v>
      </c>
      <c r="E62" t="s">
        <v>180</v>
      </c>
      <c r="F62" t="s">
        <v>26</v>
      </c>
      <c r="G62" t="s">
        <v>302</v>
      </c>
      <c r="H62" t="s">
        <v>28</v>
      </c>
      <c r="I62" t="s">
        <v>20</v>
      </c>
      <c r="J62" t="s">
        <v>969</v>
      </c>
      <c r="K62" s="3">
        <v>46077</v>
      </c>
      <c r="L62" t="s">
        <v>970</v>
      </c>
    </row>
    <row r="63" spans="1:12">
      <c r="A63" t="s">
        <v>971</v>
      </c>
      <c r="B63" t="s">
        <v>972</v>
      </c>
      <c r="C63">
        <v>10119</v>
      </c>
      <c r="D63" t="s">
        <v>973</v>
      </c>
      <c r="E63" t="s">
        <v>430</v>
      </c>
      <c r="F63" t="s">
        <v>17</v>
      </c>
      <c r="G63" t="s">
        <v>119</v>
      </c>
      <c r="H63" t="s">
        <v>19</v>
      </c>
      <c r="I63" t="s">
        <v>20</v>
      </c>
      <c r="J63" t="s">
        <v>361</v>
      </c>
      <c r="K63" s="3">
        <v>46078</v>
      </c>
      <c r="L63" t="s">
        <v>974</v>
      </c>
    </row>
    <row r="64" spans="1:12">
      <c r="A64" t="s">
        <v>975</v>
      </c>
      <c r="B64" s="3">
        <v>46078</v>
      </c>
      <c r="C64">
        <v>10010</v>
      </c>
      <c r="D64" t="s">
        <v>976</v>
      </c>
      <c r="E64" t="s">
        <v>588</v>
      </c>
      <c r="F64" t="s">
        <v>292</v>
      </c>
      <c r="G64" t="s">
        <v>293</v>
      </c>
      <c r="H64" t="s">
        <v>19</v>
      </c>
      <c r="I64" t="s">
        <v>20</v>
      </c>
      <c r="J64" s="4">
        <v>788</v>
      </c>
      <c r="K64" s="3">
        <v>46078</v>
      </c>
      <c r="L64" t="s">
        <v>977</v>
      </c>
    </row>
    <row r="65" spans="1:12">
      <c r="D65" s="5" t="s">
        <v>978</v>
      </c>
      <c r="J65" s="6">
        <f>SUBTOTAL(9,J44:J64)</f>
        <v>56642.0</v>
      </c>
    </row>
    <row r="67" spans="1:12">
      <c r="A67" t="s">
        <v>979</v>
      </c>
      <c r="B67" t="s">
        <v>980</v>
      </c>
      <c r="D67" t="s">
        <v>666</v>
      </c>
      <c r="E67" t="s">
        <v>130</v>
      </c>
      <c r="F67" t="s">
        <v>17</v>
      </c>
      <c r="G67" t="s">
        <v>119</v>
      </c>
      <c r="H67" t="s">
        <v>28</v>
      </c>
      <c r="I67" t="s">
        <v>20</v>
      </c>
      <c r="J67" s="4">
        <v>139</v>
      </c>
      <c r="K67" s="3">
        <v>46084</v>
      </c>
      <c r="L67" t="s">
        <v>981</v>
      </c>
    </row>
    <row r="68" spans="1:12">
      <c r="A68" t="s">
        <v>982</v>
      </c>
      <c r="B68" s="3">
        <v>46083</v>
      </c>
      <c r="C68">
        <v>10082</v>
      </c>
      <c r="D68" t="s">
        <v>66</v>
      </c>
      <c r="E68" t="s">
        <v>983</v>
      </c>
      <c r="F68" t="s">
        <v>17</v>
      </c>
      <c r="G68" t="s">
        <v>18</v>
      </c>
      <c r="H68" t="s">
        <v>19</v>
      </c>
      <c r="I68" t="s">
        <v>20</v>
      </c>
      <c r="J68" s="4">
        <v>149</v>
      </c>
      <c r="K68" s="3">
        <v>46085</v>
      </c>
      <c r="L68" t="s">
        <v>984</v>
      </c>
    </row>
    <row r="69" spans="1:12">
      <c r="A69" t="s">
        <v>985</v>
      </c>
      <c r="B69" s="3">
        <v>46083</v>
      </c>
      <c r="D69" t="s">
        <v>986</v>
      </c>
      <c r="E69" t="s">
        <v>987</v>
      </c>
      <c r="F69" t="s">
        <v>292</v>
      </c>
      <c r="G69" t="s">
        <v>526</v>
      </c>
      <c r="H69" t="s">
        <v>28</v>
      </c>
      <c r="I69" t="s">
        <v>20</v>
      </c>
      <c r="J69" s="4">
        <v>986</v>
      </c>
      <c r="K69" s="3">
        <v>46087</v>
      </c>
      <c r="L69" t="s">
        <v>988</v>
      </c>
    </row>
    <row r="70" spans="1:12">
      <c r="A70" t="s">
        <v>989</v>
      </c>
      <c r="B70" s="3">
        <v>46083</v>
      </c>
      <c r="C70">
        <v>10122</v>
      </c>
      <c r="D70" t="s">
        <v>990</v>
      </c>
      <c r="E70" t="s">
        <v>553</v>
      </c>
      <c r="F70" t="s">
        <v>51</v>
      </c>
      <c r="G70" t="s">
        <v>52</v>
      </c>
      <c r="H70" t="s">
        <v>663</v>
      </c>
      <c r="I70" t="s">
        <v>20</v>
      </c>
      <c r="J70" s="4">
        <v>14234</v>
      </c>
      <c r="K70" s="3">
        <v>46107</v>
      </c>
      <c r="L70" t="s">
        <v>991</v>
      </c>
    </row>
    <row r="71" spans="1:12">
      <c r="A71" t="s">
        <v>992</v>
      </c>
      <c r="B71" s="3">
        <v>46083</v>
      </c>
      <c r="C71">
        <v>10131</v>
      </c>
      <c r="D71" t="s">
        <v>993</v>
      </c>
      <c r="E71" t="s">
        <v>994</v>
      </c>
      <c r="F71" t="s">
        <v>26</v>
      </c>
      <c r="G71" t="s">
        <v>108</v>
      </c>
      <c r="H71" t="s">
        <v>19</v>
      </c>
      <c r="I71" t="s">
        <v>20</v>
      </c>
      <c r="J71" s="4">
        <v>841</v>
      </c>
      <c r="K71" s="3">
        <v>46083</v>
      </c>
      <c r="L71" t="s">
        <v>995</v>
      </c>
    </row>
    <row r="72" spans="1:12">
      <c r="A72" t="s">
        <v>996</v>
      </c>
      <c r="B72" s="3">
        <v>46090</v>
      </c>
      <c r="C72">
        <v>10106</v>
      </c>
      <c r="D72" t="s">
        <v>953</v>
      </c>
      <c r="E72" t="s">
        <v>640</v>
      </c>
      <c r="F72" t="s">
        <v>17</v>
      </c>
      <c r="G72" t="s">
        <v>18</v>
      </c>
      <c r="H72" t="s">
        <v>19</v>
      </c>
      <c r="I72" t="s">
        <v>74</v>
      </c>
      <c r="J72" s="4">
        <v>149</v>
      </c>
      <c r="K72" s="3">
        <v>46093</v>
      </c>
    </row>
    <row r="73" spans="1:12">
      <c r="A73" t="s">
        <v>997</v>
      </c>
      <c r="B73" s="3">
        <v>46091</v>
      </c>
      <c r="C73">
        <v>10027</v>
      </c>
      <c r="D73" t="s">
        <v>30</v>
      </c>
      <c r="E73" t="s">
        <v>31</v>
      </c>
      <c r="F73" t="s">
        <v>32</v>
      </c>
      <c r="G73" t="s">
        <v>103</v>
      </c>
      <c r="H73" t="s">
        <v>28</v>
      </c>
      <c r="I73" t="s">
        <v>20</v>
      </c>
      <c r="J73" s="4">
        <v>366</v>
      </c>
      <c r="K73" s="3">
        <v>46094</v>
      </c>
    </row>
    <row r="74" spans="1:12">
      <c r="A74" t="s">
        <v>998</v>
      </c>
      <c r="B74" t="s">
        <v>999</v>
      </c>
      <c r="D74" t="s">
        <v>522</v>
      </c>
      <c r="E74" t="s">
        <v>1000</v>
      </c>
      <c r="F74" t="s">
        <v>61</v>
      </c>
      <c r="G74" t="s">
        <v>1001</v>
      </c>
      <c r="H74" t="s">
        <v>34</v>
      </c>
      <c r="I74" t="s">
        <v>20</v>
      </c>
      <c r="J74" s="4">
        <v>4380</v>
      </c>
      <c r="K74" s="3">
        <v>46099</v>
      </c>
      <c r="L74" t="s">
        <v>1002</v>
      </c>
    </row>
    <row r="75" spans="1:12">
      <c r="A75" t="s">
        <v>1003</v>
      </c>
      <c r="B75" s="3">
        <v>46092</v>
      </c>
      <c r="C75">
        <v>10070</v>
      </c>
      <c r="D75" t="s">
        <v>82</v>
      </c>
      <c r="E75" t="s">
        <v>83</v>
      </c>
      <c r="F75" t="s">
        <v>61</v>
      </c>
      <c r="G75" t="s">
        <v>172</v>
      </c>
      <c r="H75" t="s">
        <v>368</v>
      </c>
      <c r="I75" t="s">
        <v>20</v>
      </c>
      <c r="J75" s="4">
        <v>1548</v>
      </c>
      <c r="K75" s="3">
        <v>46092</v>
      </c>
      <c r="L75" t="s">
        <v>1004</v>
      </c>
    </row>
    <row r="76" spans="1:12">
      <c r="A76" t="s">
        <v>1005</v>
      </c>
      <c r="B76" s="3">
        <v>46092</v>
      </c>
      <c r="C76">
        <v>10101</v>
      </c>
      <c r="D76" t="s">
        <v>1006</v>
      </c>
      <c r="E76" t="s">
        <v>827</v>
      </c>
      <c r="F76" t="s">
        <v>26</v>
      </c>
      <c r="G76" t="s">
        <v>302</v>
      </c>
      <c r="H76" t="s">
        <v>28</v>
      </c>
      <c r="I76" t="s">
        <v>74</v>
      </c>
      <c r="J76" s="4">
        <v>1093</v>
      </c>
      <c r="K76" s="3">
        <v>46092</v>
      </c>
    </row>
    <row r="77" spans="1:12">
      <c r="A77" t="s">
        <v>1007</v>
      </c>
      <c r="B77" s="3">
        <v>46092</v>
      </c>
      <c r="D77" t="s">
        <v>680</v>
      </c>
      <c r="E77" t="s">
        <v>681</v>
      </c>
      <c r="F77" t="s">
        <v>51</v>
      </c>
      <c r="G77" t="s">
        <v>73</v>
      </c>
      <c r="H77" t="s">
        <v>48</v>
      </c>
      <c r="I77" t="s">
        <v>20</v>
      </c>
      <c r="J77" t="s">
        <v>1008</v>
      </c>
      <c r="K77" t="s">
        <v>1009</v>
      </c>
      <c r="L77" t="s">
        <v>1010</v>
      </c>
    </row>
    <row r="78" spans="1:12">
      <c r="A78" t="s">
        <v>1011</v>
      </c>
      <c r="B78" t="s">
        <v>1012</v>
      </c>
      <c r="D78" t="s">
        <v>76</v>
      </c>
      <c r="E78" t="s">
        <v>390</v>
      </c>
      <c r="F78" t="s">
        <v>17</v>
      </c>
      <c r="G78" t="s">
        <v>18</v>
      </c>
      <c r="H78" t="s">
        <v>28</v>
      </c>
      <c r="I78" t="s">
        <v>20</v>
      </c>
      <c r="J78" t="s">
        <v>21</v>
      </c>
      <c r="K78" s="3">
        <v>46094</v>
      </c>
    </row>
    <row r="79" spans="1:12">
      <c r="A79" t="s">
        <v>1013</v>
      </c>
      <c r="B79" t="s">
        <v>1012</v>
      </c>
      <c r="C79">
        <v>10099</v>
      </c>
      <c r="D79" t="s">
        <v>636</v>
      </c>
      <c r="E79" t="s">
        <v>410</v>
      </c>
      <c r="F79" t="s">
        <v>225</v>
      </c>
      <c r="G79" t="s">
        <v>297</v>
      </c>
      <c r="H79" t="s">
        <v>34</v>
      </c>
      <c r="I79" t="s">
        <v>20</v>
      </c>
      <c r="J79" t="s">
        <v>1014</v>
      </c>
      <c r="K79" s="3">
        <v>46094</v>
      </c>
    </row>
    <row r="80" spans="1:12">
      <c r="A80" t="s">
        <v>1015</v>
      </c>
      <c r="B80" s="3">
        <v>46097</v>
      </c>
      <c r="C80">
        <v>10056</v>
      </c>
      <c r="D80" t="s">
        <v>1016</v>
      </c>
      <c r="E80" t="s">
        <v>334</v>
      </c>
      <c r="F80" t="s">
        <v>225</v>
      </c>
      <c r="G80" t="s">
        <v>266</v>
      </c>
      <c r="H80" t="s">
        <v>40</v>
      </c>
      <c r="I80" t="s">
        <v>20</v>
      </c>
      <c r="J80" s="4">
        <v>279</v>
      </c>
      <c r="K80" s="3">
        <v>46097</v>
      </c>
      <c r="L80" t="s">
        <v>1017</v>
      </c>
    </row>
    <row r="81" spans="1:12">
      <c r="A81" t="s">
        <v>1018</v>
      </c>
      <c r="B81" s="3">
        <v>46097</v>
      </c>
      <c r="C81">
        <v>10130</v>
      </c>
      <c r="D81" t="s">
        <v>532</v>
      </c>
      <c r="E81" t="s">
        <v>533</v>
      </c>
      <c r="F81" t="s">
        <v>26</v>
      </c>
      <c r="G81" t="s">
        <v>146</v>
      </c>
      <c r="H81" t="s">
        <v>28</v>
      </c>
      <c r="I81" t="s">
        <v>20</v>
      </c>
      <c r="J81" s="4">
        <v>108</v>
      </c>
      <c r="K81" s="3">
        <v>46101</v>
      </c>
      <c r="L81" t="s">
        <v>1019</v>
      </c>
    </row>
    <row r="82" spans="1:12">
      <c r="A82" t="s">
        <v>1020</v>
      </c>
      <c r="B82" t="s">
        <v>1021</v>
      </c>
      <c r="C82">
        <v>10014</v>
      </c>
      <c r="D82" t="s">
        <v>59</v>
      </c>
      <c r="E82" t="s">
        <v>60</v>
      </c>
      <c r="F82" t="s">
        <v>46</v>
      </c>
      <c r="G82" t="s">
        <v>47</v>
      </c>
      <c r="H82" t="s">
        <v>53</v>
      </c>
      <c r="I82" t="s">
        <v>20</v>
      </c>
      <c r="J82" s="4">
        <v>11466</v>
      </c>
      <c r="K82" s="3">
        <v>46135</v>
      </c>
      <c r="L82" t="s">
        <v>1022</v>
      </c>
    </row>
    <row r="83" spans="1:12">
      <c r="A83" t="s">
        <v>1023</v>
      </c>
      <c r="B83" t="s">
        <v>1024</v>
      </c>
      <c r="D83" t="s">
        <v>715</v>
      </c>
      <c r="E83" t="s">
        <v>285</v>
      </c>
      <c r="F83" t="s">
        <v>17</v>
      </c>
      <c r="G83" t="s">
        <v>88</v>
      </c>
      <c r="H83" t="s">
        <v>34</v>
      </c>
      <c r="I83" t="s">
        <v>20</v>
      </c>
      <c r="J83" s="4">
        <v>139</v>
      </c>
      <c r="K83" s="3">
        <v>46100</v>
      </c>
      <c r="L83" t="s">
        <v>1025</v>
      </c>
    </row>
    <row r="84" spans="1:12">
      <c r="A84" t="s">
        <v>1026</v>
      </c>
      <c r="B84" s="3">
        <v>46100</v>
      </c>
      <c r="C84">
        <v>10034</v>
      </c>
      <c r="D84" t="s">
        <v>433</v>
      </c>
      <c r="E84" t="s">
        <v>434</v>
      </c>
      <c r="F84" t="s">
        <v>51</v>
      </c>
      <c r="G84" t="s">
        <v>151</v>
      </c>
      <c r="H84" t="s">
        <v>53</v>
      </c>
      <c r="I84" t="s">
        <v>20</v>
      </c>
      <c r="J84" s="4">
        <v>9904</v>
      </c>
      <c r="K84" s="3">
        <v>46148</v>
      </c>
      <c r="L84" t="s">
        <v>1027</v>
      </c>
    </row>
    <row r="85" spans="1:12">
      <c r="A85" t="s">
        <v>1028</v>
      </c>
      <c r="B85" s="3">
        <v>46104</v>
      </c>
      <c r="C85">
        <v>10002</v>
      </c>
      <c r="D85" t="s">
        <v>219</v>
      </c>
      <c r="E85" t="s">
        <v>220</v>
      </c>
      <c r="F85" t="s">
        <v>225</v>
      </c>
      <c r="G85" t="s">
        <v>226</v>
      </c>
      <c r="H85" t="s">
        <v>40</v>
      </c>
      <c r="I85" t="s">
        <v>20</v>
      </c>
      <c r="J85" s="4">
        <v>265</v>
      </c>
      <c r="K85" s="3">
        <v>46106</v>
      </c>
      <c r="L85" t="s">
        <v>1029</v>
      </c>
    </row>
    <row r="86" spans="1:12">
      <c r="A86" t="s">
        <v>1030</v>
      </c>
      <c r="B86" s="3">
        <v>46104</v>
      </c>
      <c r="D86" t="s">
        <v>95</v>
      </c>
      <c r="E86" t="s">
        <v>111</v>
      </c>
      <c r="F86" t="s">
        <v>225</v>
      </c>
      <c r="G86" t="s">
        <v>266</v>
      </c>
      <c r="H86" t="s">
        <v>28</v>
      </c>
      <c r="I86" t="s">
        <v>20</v>
      </c>
      <c r="J86" s="4">
        <v>477</v>
      </c>
      <c r="K86" s="3">
        <v>46108</v>
      </c>
    </row>
    <row r="87" spans="1:12">
      <c r="A87" t="s">
        <v>1031</v>
      </c>
      <c r="B87" s="3">
        <v>46104</v>
      </c>
      <c r="C87">
        <v>10133</v>
      </c>
      <c r="D87" t="s">
        <v>1032</v>
      </c>
      <c r="E87" t="s">
        <v>320</v>
      </c>
      <c r="F87" t="s">
        <v>61</v>
      </c>
      <c r="G87" t="s">
        <v>124</v>
      </c>
      <c r="H87" t="s">
        <v>40</v>
      </c>
      <c r="I87" t="s">
        <v>20</v>
      </c>
      <c r="J87" s="4">
        <v>1326</v>
      </c>
      <c r="K87" s="3">
        <v>46105</v>
      </c>
      <c r="L87" t="s">
        <v>1033</v>
      </c>
    </row>
    <row r="88" spans="1:12">
      <c r="A88" t="s">
        <v>1034</v>
      </c>
      <c r="B88" t="s">
        <v>1035</v>
      </c>
      <c r="C88">
        <v>10027</v>
      </c>
      <c r="D88" t="s">
        <v>30</v>
      </c>
      <c r="E88" t="s">
        <v>31</v>
      </c>
      <c r="F88" t="s">
        <v>32</v>
      </c>
      <c r="G88" t="s">
        <v>68</v>
      </c>
      <c r="H88" t="s">
        <v>34</v>
      </c>
      <c r="I88" t="s">
        <v>20</v>
      </c>
      <c r="J88" t="s">
        <v>1036</v>
      </c>
      <c r="K88" s="3">
        <v>46113</v>
      </c>
      <c r="L88" t="s">
        <v>1037</v>
      </c>
    </row>
    <row r="89" spans="1:12">
      <c r="A89" t="s">
        <v>1038</v>
      </c>
      <c r="B89" t="s">
        <v>1039</v>
      </c>
      <c r="D89" t="s">
        <v>486</v>
      </c>
      <c r="E89" t="s">
        <v>45</v>
      </c>
      <c r="F89" t="s">
        <v>17</v>
      </c>
      <c r="G89" t="s">
        <v>18</v>
      </c>
      <c r="H89" t="s">
        <v>34</v>
      </c>
      <c r="I89" t="s">
        <v>20</v>
      </c>
      <c r="J89" s="4">
        <v>159</v>
      </c>
      <c r="K89" s="3">
        <v>46107</v>
      </c>
    </row>
    <row r="90" spans="1:12">
      <c r="A90" t="s">
        <v>1040</v>
      </c>
      <c r="B90" s="3">
        <v>46111</v>
      </c>
      <c r="C90">
        <v>10077</v>
      </c>
      <c r="D90" t="s">
        <v>203</v>
      </c>
      <c r="E90" t="s">
        <v>92</v>
      </c>
      <c r="F90" t="s">
        <v>61</v>
      </c>
      <c r="G90" t="s">
        <v>62</v>
      </c>
      <c r="H90" t="s">
        <v>40</v>
      </c>
      <c r="I90" t="s">
        <v>20</v>
      </c>
      <c r="J90" s="4">
        <v>748</v>
      </c>
      <c r="K90" s="3">
        <v>46113</v>
      </c>
      <c r="L90" t="s">
        <v>1041</v>
      </c>
    </row>
    <row r="91" spans="1:12">
      <c r="A91" t="s">
        <v>1042</v>
      </c>
      <c r="B91" t="s">
        <v>1043</v>
      </c>
      <c r="C91">
        <v>10113</v>
      </c>
      <c r="D91" t="s">
        <v>1044</v>
      </c>
      <c r="E91" t="s">
        <v>204</v>
      </c>
      <c r="F91" t="s">
        <v>61</v>
      </c>
      <c r="G91" t="s">
        <v>172</v>
      </c>
      <c r="H91" t="s">
        <v>19</v>
      </c>
      <c r="I91" t="s">
        <v>20</v>
      </c>
      <c r="J91" s="4">
        <v>288</v>
      </c>
      <c r="K91" s="3">
        <v>46111</v>
      </c>
      <c r="L91" t="s">
        <v>1045</v>
      </c>
    </row>
    <row r="92" spans="1:12">
      <c r="D92" s="5" t="s">
        <v>1046</v>
      </c>
      <c r="J92" s="6">
        <f>SUBTOTAL(9,J67:J91)</f>
        <v>49044.0</v>
      </c>
    </row>
    <row r="94" spans="1:12">
      <c r="A94" t="s">
        <v>1047</v>
      </c>
      <c r="B94" t="s">
        <v>1048</v>
      </c>
      <c r="C94">
        <v>10027</v>
      </c>
      <c r="D94" t="s">
        <v>30</v>
      </c>
      <c r="E94" t="s">
        <v>198</v>
      </c>
      <c r="F94" t="s">
        <v>17</v>
      </c>
      <c r="G94" t="s">
        <v>88</v>
      </c>
      <c r="H94" t="s">
        <v>28</v>
      </c>
      <c r="I94" t="s">
        <v>63</v>
      </c>
      <c r="J94" s="4">
        <v>139</v>
      </c>
    </row>
    <row r="95" spans="1:12">
      <c r="A95" t="s">
        <v>1049</v>
      </c>
      <c r="B95" s="3">
        <v>46119</v>
      </c>
      <c r="C95">
        <v>10092</v>
      </c>
      <c r="D95" t="s">
        <v>932</v>
      </c>
      <c r="E95" t="s">
        <v>933</v>
      </c>
      <c r="F95" t="s">
        <v>26</v>
      </c>
      <c r="G95" t="s">
        <v>108</v>
      </c>
      <c r="H95" t="s">
        <v>19</v>
      </c>
      <c r="I95" t="s">
        <v>20</v>
      </c>
      <c r="J95" s="4">
        <v>166</v>
      </c>
      <c r="K95" s="3">
        <v>46120</v>
      </c>
      <c r="L95" t="s">
        <v>1050</v>
      </c>
    </row>
    <row r="96" spans="1:12">
      <c r="A96" t="s">
        <v>1051</v>
      </c>
      <c r="B96" s="3">
        <v>46121</v>
      </c>
      <c r="C96">
        <v>10025</v>
      </c>
      <c r="D96" t="s">
        <v>1052</v>
      </c>
      <c r="E96" t="s">
        <v>1053</v>
      </c>
      <c r="F96" t="s">
        <v>17</v>
      </c>
      <c r="G96" t="s">
        <v>18</v>
      </c>
      <c r="H96" t="s">
        <v>28</v>
      </c>
      <c r="I96" t="s">
        <v>20</v>
      </c>
      <c r="J96" s="4">
        <v>139</v>
      </c>
      <c r="K96" s="3">
        <v>46121</v>
      </c>
      <c r="L96" t="s">
        <v>1054</v>
      </c>
    </row>
    <row r="97" spans="1:12">
      <c r="A97" t="s">
        <v>1055</v>
      </c>
      <c r="B97" t="s">
        <v>1056</v>
      </c>
      <c r="C97">
        <v>10011</v>
      </c>
      <c r="D97" t="s">
        <v>101</v>
      </c>
      <c r="E97" t="s">
        <v>102</v>
      </c>
      <c r="F97" t="s">
        <v>17</v>
      </c>
      <c r="G97" t="s">
        <v>119</v>
      </c>
      <c r="H97" t="s">
        <v>40</v>
      </c>
      <c r="I97" t="s">
        <v>20</v>
      </c>
      <c r="J97" s="4">
        <v>159</v>
      </c>
      <c r="K97" s="3">
        <v>46128</v>
      </c>
      <c r="L97" t="s">
        <v>1057</v>
      </c>
    </row>
    <row r="98" spans="1:12">
      <c r="A98" t="s">
        <v>1058</v>
      </c>
      <c r="B98" s="3">
        <v>46125</v>
      </c>
      <c r="C98">
        <v>10005</v>
      </c>
      <c r="D98" t="s">
        <v>1059</v>
      </c>
      <c r="E98" t="s">
        <v>186</v>
      </c>
      <c r="F98" t="s">
        <v>17</v>
      </c>
      <c r="G98" t="s">
        <v>18</v>
      </c>
      <c r="H98" t="s">
        <v>40</v>
      </c>
      <c r="I98" t="s">
        <v>20</v>
      </c>
      <c r="J98" s="4">
        <v>189</v>
      </c>
      <c r="K98" s="3">
        <v>46127</v>
      </c>
      <c r="L98" t="s">
        <v>1060</v>
      </c>
    </row>
    <row r="99" spans="1:12">
      <c r="A99" t="s">
        <v>1061</v>
      </c>
      <c r="B99" s="3">
        <v>46125</v>
      </c>
      <c r="C99">
        <v>10047</v>
      </c>
      <c r="D99" t="s">
        <v>413</v>
      </c>
      <c r="E99" t="s">
        <v>414</v>
      </c>
      <c r="F99" t="s">
        <v>61</v>
      </c>
      <c r="G99" t="s">
        <v>62</v>
      </c>
      <c r="H99" t="s">
        <v>34</v>
      </c>
      <c r="I99" t="s">
        <v>20</v>
      </c>
      <c r="J99" t="s">
        <v>1062</v>
      </c>
      <c r="K99" s="3">
        <v>46125</v>
      </c>
      <c r="L99" t="s">
        <v>1063</v>
      </c>
    </row>
    <row r="100" spans="1:12">
      <c r="A100" t="s">
        <v>1064</v>
      </c>
      <c r="B100" t="s">
        <v>1065</v>
      </c>
      <c r="C100">
        <v>10072</v>
      </c>
      <c r="D100" t="s">
        <v>176</v>
      </c>
      <c r="E100" t="s">
        <v>177</v>
      </c>
      <c r="F100" t="s">
        <v>225</v>
      </c>
      <c r="G100" t="s">
        <v>226</v>
      </c>
      <c r="H100" t="s">
        <v>19</v>
      </c>
      <c r="I100" t="s">
        <v>63</v>
      </c>
      <c r="J100" t="s">
        <v>841</v>
      </c>
    </row>
    <row r="101" spans="1:12">
      <c r="A101" t="s">
        <v>1066</v>
      </c>
      <c r="B101" s="3">
        <v>46125</v>
      </c>
      <c r="C101">
        <v>10079</v>
      </c>
      <c r="D101" t="s">
        <v>1067</v>
      </c>
      <c r="E101" t="s">
        <v>1068</v>
      </c>
      <c r="F101" t="s">
        <v>17</v>
      </c>
      <c r="G101" t="s">
        <v>18</v>
      </c>
      <c r="H101" t="s">
        <v>28</v>
      </c>
      <c r="I101" t="s">
        <v>20</v>
      </c>
      <c r="J101" s="4">
        <v>189</v>
      </c>
      <c r="K101" s="3">
        <v>46126</v>
      </c>
    </row>
    <row r="102" spans="1:12">
      <c r="A102" t="s">
        <v>1069</v>
      </c>
      <c r="B102" t="s">
        <v>1070</v>
      </c>
      <c r="C102">
        <v>10099</v>
      </c>
      <c r="D102" t="s">
        <v>636</v>
      </c>
      <c r="E102" t="s">
        <v>410</v>
      </c>
      <c r="F102" t="s">
        <v>225</v>
      </c>
      <c r="G102" t="s">
        <v>266</v>
      </c>
      <c r="H102" t="s">
        <v>28</v>
      </c>
      <c r="I102" t="s">
        <v>20</v>
      </c>
      <c r="J102" t="s">
        <v>1071</v>
      </c>
      <c r="K102" s="3">
        <v>46125</v>
      </c>
      <c r="L102" t="s">
        <v>1072</v>
      </c>
    </row>
    <row r="103" spans="1:12">
      <c r="A103" t="s">
        <v>1073</v>
      </c>
      <c r="B103" t="s">
        <v>1074</v>
      </c>
      <c r="C103">
        <v>10067</v>
      </c>
      <c r="D103" t="s">
        <v>907</v>
      </c>
      <c r="E103" t="s">
        <v>455</v>
      </c>
      <c r="F103" t="s">
        <v>26</v>
      </c>
      <c r="G103" t="s">
        <v>27</v>
      </c>
      <c r="H103" t="s">
        <v>28</v>
      </c>
      <c r="I103" t="s">
        <v>74</v>
      </c>
      <c r="J103" t="s">
        <v>841</v>
      </c>
      <c r="K103" s="3">
        <v>46129</v>
      </c>
    </row>
    <row r="104" spans="1:12">
      <c r="A104" t="s">
        <v>1075</v>
      </c>
      <c r="B104" s="3">
        <v>46126</v>
      </c>
      <c r="C104">
        <v>10115</v>
      </c>
      <c r="D104" t="s">
        <v>1076</v>
      </c>
      <c r="E104" t="s">
        <v>760</v>
      </c>
      <c r="F104" t="s">
        <v>26</v>
      </c>
      <c r="G104" t="s">
        <v>155</v>
      </c>
      <c r="H104" t="s">
        <v>19</v>
      </c>
      <c r="I104" t="s">
        <v>20</v>
      </c>
      <c r="J104" s="4">
        <v>450</v>
      </c>
      <c r="K104" s="3">
        <v>46126</v>
      </c>
    </row>
    <row r="105" spans="1:12">
      <c r="A105" t="s">
        <v>1077</v>
      </c>
      <c r="B105" s="3">
        <v>46127</v>
      </c>
      <c r="D105" t="s">
        <v>144</v>
      </c>
      <c r="E105" t="s">
        <v>574</v>
      </c>
      <c r="F105" t="s">
        <v>292</v>
      </c>
      <c r="G105" t="s">
        <v>293</v>
      </c>
      <c r="H105" t="s">
        <v>28</v>
      </c>
      <c r="I105" t="s">
        <v>20</v>
      </c>
      <c r="J105" s="4">
        <v>930</v>
      </c>
      <c r="K105" s="3">
        <v>46127</v>
      </c>
      <c r="L105" t="s">
        <v>1078</v>
      </c>
    </row>
    <row r="106" spans="1:12">
      <c r="A106" t="s">
        <v>1079</v>
      </c>
      <c r="B106" t="s">
        <v>1080</v>
      </c>
      <c r="C106">
        <v>10037</v>
      </c>
      <c r="D106" t="s">
        <v>519</v>
      </c>
      <c r="E106" t="s">
        <v>520</v>
      </c>
      <c r="F106" t="s">
        <v>17</v>
      </c>
      <c r="G106" t="s">
        <v>18</v>
      </c>
      <c r="H106" t="s">
        <v>40</v>
      </c>
      <c r="I106" t="s">
        <v>20</v>
      </c>
      <c r="J106" s="4">
        <v>139</v>
      </c>
      <c r="K106" s="3">
        <v>46135</v>
      </c>
    </row>
    <row r="107" spans="1:12">
      <c r="A107" t="s">
        <v>1081</v>
      </c>
      <c r="B107" t="s">
        <v>1080</v>
      </c>
      <c r="C107">
        <v>10080</v>
      </c>
      <c r="D107" t="s">
        <v>850</v>
      </c>
      <c r="E107" t="s">
        <v>851</v>
      </c>
      <c r="F107" t="s">
        <v>61</v>
      </c>
      <c r="G107" t="s">
        <v>172</v>
      </c>
      <c r="H107" t="s">
        <v>40</v>
      </c>
      <c r="I107" t="s">
        <v>20</v>
      </c>
      <c r="J107" t="s">
        <v>841</v>
      </c>
      <c r="K107" s="3">
        <v>46136</v>
      </c>
      <c r="L107" t="s">
        <v>1082</v>
      </c>
    </row>
    <row r="108" spans="1:12">
      <c r="A108" t="s">
        <v>1083</v>
      </c>
      <c r="B108" s="3">
        <v>46132</v>
      </c>
      <c r="D108" t="s">
        <v>990</v>
      </c>
      <c r="E108" t="s">
        <v>553</v>
      </c>
      <c r="F108" t="s">
        <v>26</v>
      </c>
      <c r="G108" t="s">
        <v>155</v>
      </c>
      <c r="H108" t="s">
        <v>28</v>
      </c>
      <c r="I108" t="s">
        <v>20</v>
      </c>
      <c r="J108" s="4">
        <v>394</v>
      </c>
      <c r="K108" s="3">
        <v>46135</v>
      </c>
    </row>
    <row r="109" spans="1:12">
      <c r="A109" t="s">
        <v>1084</v>
      </c>
      <c r="B109" t="s">
        <v>1085</v>
      </c>
      <c r="C109">
        <v>10060</v>
      </c>
      <c r="D109" t="s">
        <v>644</v>
      </c>
      <c r="E109" t="s">
        <v>382</v>
      </c>
      <c r="F109" t="s">
        <v>26</v>
      </c>
      <c r="G109" t="s">
        <v>188</v>
      </c>
      <c r="H109" t="s">
        <v>34</v>
      </c>
      <c r="I109" t="s">
        <v>20</v>
      </c>
      <c r="J109" s="4">
        <v>360</v>
      </c>
      <c r="K109" s="3">
        <v>46139</v>
      </c>
    </row>
    <row r="110" spans="1:12">
      <c r="A110" t="s">
        <v>1086</v>
      </c>
      <c r="B110" t="s">
        <v>1087</v>
      </c>
      <c r="C110">
        <v>10056</v>
      </c>
      <c r="D110" t="s">
        <v>333</v>
      </c>
      <c r="E110" t="s">
        <v>334</v>
      </c>
      <c r="F110" t="s">
        <v>17</v>
      </c>
      <c r="G110" t="s">
        <v>119</v>
      </c>
      <c r="H110" t="s">
        <v>28</v>
      </c>
      <c r="I110" t="s">
        <v>20</v>
      </c>
      <c r="J110" s="4">
        <v>139</v>
      </c>
      <c r="K110" s="3">
        <v>46140</v>
      </c>
      <c r="L110" t="s">
        <v>1088</v>
      </c>
    </row>
    <row r="111" spans="1:12">
      <c r="A111" t="s">
        <v>1089</v>
      </c>
      <c r="B111" t="s">
        <v>1090</v>
      </c>
      <c r="C111">
        <v>10077</v>
      </c>
      <c r="D111" t="s">
        <v>91</v>
      </c>
      <c r="E111" t="s">
        <v>92</v>
      </c>
      <c r="F111" t="s">
        <v>61</v>
      </c>
      <c r="G111" t="s">
        <v>124</v>
      </c>
      <c r="H111" t="s">
        <v>28</v>
      </c>
      <c r="I111" t="s">
        <v>20</v>
      </c>
      <c r="J111" t="s">
        <v>1091</v>
      </c>
      <c r="K111" s="3">
        <v>46142</v>
      </c>
      <c r="L111" t="s">
        <v>1092</v>
      </c>
    </row>
    <row r="112" spans="1:12">
      <c r="D112" s="5" t="s">
        <v>1093</v>
      </c>
      <c r="J112" s="6">
        <f>SUBTOTAL(9,J94:J111)</f>
        <v>3393.0</v>
      </c>
    </row>
    <row r="114" spans="1:12">
      <c r="A114" t="s">
        <v>1094</v>
      </c>
      <c r="B114" s="3">
        <v>46146</v>
      </c>
      <c r="C114">
        <v>10077</v>
      </c>
      <c r="D114" t="s">
        <v>91</v>
      </c>
      <c r="E114" t="s">
        <v>92</v>
      </c>
      <c r="F114" t="s">
        <v>26</v>
      </c>
      <c r="G114" t="s">
        <v>188</v>
      </c>
      <c r="H114" t="s">
        <v>772</v>
      </c>
      <c r="I114" t="s">
        <v>20</v>
      </c>
      <c r="J114" s="4">
        <v>941</v>
      </c>
      <c r="K114" s="3">
        <v>46147</v>
      </c>
      <c r="L114" t="s">
        <v>1095</v>
      </c>
    </row>
    <row r="115" spans="1:12">
      <c r="A115" t="s">
        <v>1096</v>
      </c>
      <c r="B115" s="3">
        <v>46146</v>
      </c>
      <c r="C115">
        <v>10110</v>
      </c>
      <c r="D115" t="s">
        <v>859</v>
      </c>
      <c r="E115" t="s">
        <v>289</v>
      </c>
      <c r="F115" t="s">
        <v>17</v>
      </c>
      <c r="G115" t="s">
        <v>119</v>
      </c>
      <c r="H115" t="s">
        <v>34</v>
      </c>
      <c r="I115" t="s">
        <v>20</v>
      </c>
      <c r="J115" s="4">
        <v>139</v>
      </c>
      <c r="K115" s="3">
        <v>46147</v>
      </c>
      <c r="L115" t="s">
        <v>1097</v>
      </c>
    </row>
    <row r="116" spans="1:12">
      <c r="A116" t="s">
        <v>1098</v>
      </c>
      <c r="B116" t="s">
        <v>1099</v>
      </c>
      <c r="C116">
        <v>10120</v>
      </c>
      <c r="D116" t="s">
        <v>986</v>
      </c>
      <c r="E116" t="s">
        <v>987</v>
      </c>
      <c r="F116" t="s">
        <v>26</v>
      </c>
      <c r="G116" t="s">
        <v>108</v>
      </c>
      <c r="H116" t="s">
        <v>34</v>
      </c>
      <c r="I116" t="s">
        <v>20</v>
      </c>
      <c r="J116" s="4">
        <v>222</v>
      </c>
      <c r="K116" s="3">
        <v>46149</v>
      </c>
    </row>
    <row r="117" spans="1:12">
      <c r="A117" t="s">
        <v>1100</v>
      </c>
      <c r="B117" t="s">
        <v>1099</v>
      </c>
      <c r="C117">
        <v>10130</v>
      </c>
      <c r="D117" t="s">
        <v>532</v>
      </c>
      <c r="E117" t="s">
        <v>533</v>
      </c>
      <c r="F117" t="s">
        <v>292</v>
      </c>
      <c r="G117" t="s">
        <v>293</v>
      </c>
      <c r="H117" t="s">
        <v>19</v>
      </c>
      <c r="I117" t="s">
        <v>20</v>
      </c>
      <c r="J117" s="4">
        <v>874</v>
      </c>
      <c r="K117" s="3">
        <v>46149</v>
      </c>
      <c r="L117" t="s">
        <v>1101</v>
      </c>
    </row>
    <row r="118" spans="1:12">
      <c r="A118" t="s">
        <v>1102</v>
      </c>
      <c r="B118" t="s">
        <v>1103</v>
      </c>
      <c r="C118">
        <v>10056</v>
      </c>
      <c r="D118" t="s">
        <v>333</v>
      </c>
      <c r="E118" t="s">
        <v>1104</v>
      </c>
      <c r="F118" t="s">
        <v>26</v>
      </c>
      <c r="G118" t="s">
        <v>242</v>
      </c>
      <c r="H118" t="s">
        <v>28</v>
      </c>
      <c r="I118" t="s">
        <v>20</v>
      </c>
      <c r="J118" s="4">
        <v>562</v>
      </c>
      <c r="K118" s="3">
        <v>46154</v>
      </c>
      <c r="L118" t="s">
        <v>1105</v>
      </c>
    </row>
    <row r="119" spans="1:12">
      <c r="A119" t="s">
        <v>1106</v>
      </c>
      <c r="B119" t="s">
        <v>1107</v>
      </c>
      <c r="C119">
        <v>10019</v>
      </c>
      <c r="D119" t="s">
        <v>770</v>
      </c>
      <c r="E119" t="s">
        <v>771</v>
      </c>
      <c r="F119" t="s">
        <v>17</v>
      </c>
      <c r="G119" t="s">
        <v>119</v>
      </c>
      <c r="H119" t="s">
        <v>34</v>
      </c>
      <c r="I119" t="s">
        <v>20</v>
      </c>
      <c r="J119" t="s">
        <v>260</v>
      </c>
      <c r="K119" s="3">
        <v>46153</v>
      </c>
      <c r="L119" t="s">
        <v>1108</v>
      </c>
    </row>
    <row r="120" spans="1:12">
      <c r="A120" t="s">
        <v>1109</v>
      </c>
      <c r="B120" s="3">
        <v>46153</v>
      </c>
      <c r="C120">
        <v>10068</v>
      </c>
      <c r="D120" t="s">
        <v>250</v>
      </c>
      <c r="E120" t="s">
        <v>251</v>
      </c>
      <c r="F120" t="s">
        <v>26</v>
      </c>
      <c r="G120" t="s">
        <v>108</v>
      </c>
      <c r="H120" t="s">
        <v>40</v>
      </c>
      <c r="I120" t="s">
        <v>20</v>
      </c>
      <c r="J120" s="4">
        <v>771</v>
      </c>
      <c r="K120" s="3">
        <v>46160</v>
      </c>
      <c r="L120" t="s">
        <v>1110</v>
      </c>
    </row>
    <row r="121" spans="1:12">
      <c r="A121" t="s">
        <v>1111</v>
      </c>
      <c r="B121" s="3">
        <v>46153</v>
      </c>
      <c r="C121">
        <v>10079</v>
      </c>
      <c r="D121" t="s">
        <v>1067</v>
      </c>
      <c r="E121" t="s">
        <v>1068</v>
      </c>
      <c r="F121" t="s">
        <v>26</v>
      </c>
      <c r="G121" t="s">
        <v>39</v>
      </c>
      <c r="H121" t="s">
        <v>28</v>
      </c>
      <c r="I121" t="s">
        <v>20</v>
      </c>
      <c r="J121" t="s">
        <v>841</v>
      </c>
      <c r="K121" s="3">
        <v>46160</v>
      </c>
    </row>
    <row r="122" spans="1:12">
      <c r="A122" t="s">
        <v>1112</v>
      </c>
      <c r="B122" t="s">
        <v>1107</v>
      </c>
      <c r="D122" t="s">
        <v>97</v>
      </c>
      <c r="E122" t="s">
        <v>98</v>
      </c>
      <c r="F122" t="s">
        <v>292</v>
      </c>
      <c r="G122" t="s">
        <v>293</v>
      </c>
      <c r="H122" t="s">
        <v>40</v>
      </c>
      <c r="I122" t="s">
        <v>20</v>
      </c>
      <c r="J122" t="s">
        <v>1113</v>
      </c>
      <c r="K122" s="3">
        <v>46160</v>
      </c>
      <c r="L122" t="s">
        <v>1114</v>
      </c>
    </row>
    <row r="123" spans="1:12">
      <c r="A123" t="s">
        <v>1115</v>
      </c>
      <c r="B123" t="s">
        <v>1116</v>
      </c>
      <c r="C123">
        <v>10040</v>
      </c>
      <c r="D123" t="s">
        <v>371</v>
      </c>
      <c r="E123" t="s">
        <v>285</v>
      </c>
      <c r="F123" t="s">
        <v>26</v>
      </c>
      <c r="G123" t="s">
        <v>146</v>
      </c>
      <c r="H123" t="s">
        <v>19</v>
      </c>
      <c r="I123" t="s">
        <v>20</v>
      </c>
      <c r="J123" s="4">
        <v>655</v>
      </c>
      <c r="K123" s="3">
        <v>46161</v>
      </c>
      <c r="L123" t="s">
        <v>1117</v>
      </c>
    </row>
    <row r="124" spans="1:12">
      <c r="A124" t="s">
        <v>1118</v>
      </c>
      <c r="B124" s="3">
        <v>46157</v>
      </c>
      <c r="C124">
        <v>10021</v>
      </c>
      <c r="D124" t="s">
        <v>743</v>
      </c>
      <c r="E124" t="s">
        <v>744</v>
      </c>
      <c r="F124" t="s">
        <v>51</v>
      </c>
      <c r="G124" t="s">
        <v>52</v>
      </c>
      <c r="H124" t="s">
        <v>48</v>
      </c>
      <c r="I124" t="s">
        <v>20</v>
      </c>
      <c r="J124" s="4">
        <v>13256</v>
      </c>
      <c r="K124" s="3">
        <v>46197</v>
      </c>
      <c r="L124" t="s">
        <v>1119</v>
      </c>
    </row>
    <row r="125" spans="1:12">
      <c r="A125" t="s">
        <v>1120</v>
      </c>
      <c r="B125" s="3">
        <v>46157</v>
      </c>
      <c r="C125">
        <v>10067</v>
      </c>
      <c r="D125" t="s">
        <v>907</v>
      </c>
      <c r="E125" t="s">
        <v>455</v>
      </c>
      <c r="F125" t="s">
        <v>17</v>
      </c>
      <c r="G125" t="s">
        <v>18</v>
      </c>
      <c r="H125" t="s">
        <v>19</v>
      </c>
      <c r="I125" t="s">
        <v>20</v>
      </c>
      <c r="J125" s="4">
        <v>189</v>
      </c>
      <c r="K125" s="3">
        <v>46160</v>
      </c>
      <c r="L125" t="s">
        <v>1121</v>
      </c>
    </row>
    <row r="126" spans="1:12">
      <c r="A126" t="s">
        <v>1122</v>
      </c>
      <c r="B126" s="3">
        <v>46157</v>
      </c>
      <c r="C126">
        <v>10072</v>
      </c>
      <c r="D126" t="s">
        <v>1123</v>
      </c>
      <c r="E126" t="s">
        <v>177</v>
      </c>
      <c r="F126" t="s">
        <v>26</v>
      </c>
      <c r="G126" t="s">
        <v>27</v>
      </c>
      <c r="H126" t="s">
        <v>28</v>
      </c>
      <c r="I126" t="s">
        <v>20</v>
      </c>
      <c r="J126" t="s">
        <v>1124</v>
      </c>
      <c r="K126" s="3">
        <v>46163</v>
      </c>
      <c r="L126" t="s">
        <v>1125</v>
      </c>
    </row>
    <row r="127" spans="1:12">
      <c r="A127" t="s">
        <v>1126</v>
      </c>
      <c r="B127" s="3">
        <v>46157</v>
      </c>
      <c r="D127" t="s">
        <v>1127</v>
      </c>
      <c r="E127" t="s">
        <v>1128</v>
      </c>
      <c r="F127" t="s">
        <v>17</v>
      </c>
      <c r="G127" t="s">
        <v>18</v>
      </c>
      <c r="H127" t="s">
        <v>28</v>
      </c>
      <c r="I127" t="s">
        <v>20</v>
      </c>
      <c r="J127" t="s">
        <v>361</v>
      </c>
      <c r="K127" s="3">
        <v>46162</v>
      </c>
      <c r="L127" t="s">
        <v>1129</v>
      </c>
    </row>
    <row r="128" spans="1:12">
      <c r="A128" t="s">
        <v>1130</v>
      </c>
      <c r="B128" s="3">
        <v>46160</v>
      </c>
      <c r="D128" t="s">
        <v>223</v>
      </c>
      <c r="E128" t="s">
        <v>241</v>
      </c>
      <c r="F128" t="s">
        <v>17</v>
      </c>
      <c r="G128" t="s">
        <v>78</v>
      </c>
      <c r="H128" t="s">
        <v>28</v>
      </c>
      <c r="I128" t="s">
        <v>20</v>
      </c>
      <c r="J128" s="4">
        <v>159</v>
      </c>
      <c r="K128" s="3">
        <v>46161</v>
      </c>
    </row>
    <row r="129" spans="1:12">
      <c r="A129" t="s">
        <v>1131</v>
      </c>
      <c r="B129" t="s">
        <v>1132</v>
      </c>
      <c r="C129">
        <v>10137</v>
      </c>
      <c r="D129" t="s">
        <v>1133</v>
      </c>
      <c r="E129" t="s">
        <v>627</v>
      </c>
      <c r="F129" t="s">
        <v>17</v>
      </c>
      <c r="G129" t="s">
        <v>78</v>
      </c>
      <c r="H129" t="s">
        <v>472</v>
      </c>
      <c r="I129" t="s">
        <v>20</v>
      </c>
      <c r="J129" s="4">
        <v>139</v>
      </c>
      <c r="K129" s="3">
        <v>46162</v>
      </c>
      <c r="L129" t="s">
        <v>1134</v>
      </c>
    </row>
    <row r="130" spans="1:12">
      <c r="A130" t="s">
        <v>1135</v>
      </c>
      <c r="B130" s="3">
        <v>46161</v>
      </c>
      <c r="D130" t="s">
        <v>666</v>
      </c>
      <c r="E130" t="s">
        <v>130</v>
      </c>
      <c r="F130" t="s">
        <v>51</v>
      </c>
      <c r="G130" t="s">
        <v>73</v>
      </c>
      <c r="H130" t="s">
        <v>604</v>
      </c>
      <c r="I130" t="s">
        <v>20</v>
      </c>
      <c r="J130" s="4">
        <v>12413</v>
      </c>
      <c r="K130" s="3">
        <v>46196</v>
      </c>
    </row>
    <row r="131" spans="1:12">
      <c r="A131" t="s">
        <v>1136</v>
      </c>
      <c r="B131" t="s">
        <v>1137</v>
      </c>
      <c r="C131">
        <v>10125</v>
      </c>
      <c r="D131" t="s">
        <v>790</v>
      </c>
      <c r="E131" t="s">
        <v>791</v>
      </c>
      <c r="F131" t="s">
        <v>61</v>
      </c>
      <c r="G131" t="s">
        <v>172</v>
      </c>
      <c r="H131" t="s">
        <v>28</v>
      </c>
      <c r="I131" t="s">
        <v>20</v>
      </c>
      <c r="J131" s="4">
        <v>1111</v>
      </c>
      <c r="K131" s="3">
        <v>46161</v>
      </c>
      <c r="L131" t="s">
        <v>1138</v>
      </c>
    </row>
    <row r="132" spans="1:12">
      <c r="A132" t="s">
        <v>1139</v>
      </c>
      <c r="B132" t="s">
        <v>1140</v>
      </c>
      <c r="C132">
        <v>10050</v>
      </c>
      <c r="D132" t="s">
        <v>37</v>
      </c>
      <c r="E132" t="s">
        <v>111</v>
      </c>
      <c r="F132" t="s">
        <v>26</v>
      </c>
      <c r="G132" t="s">
        <v>39</v>
      </c>
      <c r="H132" t="s">
        <v>28</v>
      </c>
      <c r="I132" t="s">
        <v>20</v>
      </c>
      <c r="J132" s="4">
        <v>914</v>
      </c>
      <c r="K132" s="3">
        <v>46163</v>
      </c>
      <c r="L132" t="s">
        <v>1141</v>
      </c>
    </row>
    <row r="133" spans="1:12">
      <c r="A133" t="s">
        <v>1142</v>
      </c>
      <c r="B133" t="s">
        <v>1140</v>
      </c>
      <c r="C133">
        <v>10060</v>
      </c>
      <c r="D133" t="s">
        <v>381</v>
      </c>
      <c r="E133" t="s">
        <v>382</v>
      </c>
      <c r="F133" t="s">
        <v>26</v>
      </c>
      <c r="G133" t="s">
        <v>146</v>
      </c>
      <c r="H133" t="s">
        <v>28</v>
      </c>
      <c r="I133" t="s">
        <v>20</v>
      </c>
      <c r="J133" t="s">
        <v>1143</v>
      </c>
      <c r="K133" s="3">
        <v>46169</v>
      </c>
      <c r="L133" t="s">
        <v>1144</v>
      </c>
    </row>
    <row r="134" spans="1:12">
      <c r="A134" t="s">
        <v>1145</v>
      </c>
      <c r="B134" s="3">
        <v>46163</v>
      </c>
      <c r="C134">
        <v>10049</v>
      </c>
      <c r="D134" t="s">
        <v>750</v>
      </c>
      <c r="E134" t="s">
        <v>751</v>
      </c>
      <c r="F134" t="s">
        <v>17</v>
      </c>
      <c r="G134" t="s">
        <v>119</v>
      </c>
      <c r="H134" t="s">
        <v>40</v>
      </c>
      <c r="I134" t="s">
        <v>20</v>
      </c>
      <c r="J134" t="s">
        <v>260</v>
      </c>
      <c r="K134" s="3">
        <v>46169</v>
      </c>
      <c r="L134" t="s">
        <v>1146</v>
      </c>
    </row>
    <row r="135" spans="1:12">
      <c r="A135" t="s">
        <v>1147</v>
      </c>
      <c r="B135" t="s">
        <v>1148</v>
      </c>
      <c r="C135">
        <v>10027</v>
      </c>
      <c r="D135" t="s">
        <v>30</v>
      </c>
      <c r="E135" t="s">
        <v>31</v>
      </c>
      <c r="F135" t="s">
        <v>17</v>
      </c>
      <c r="G135" t="s">
        <v>78</v>
      </c>
      <c r="H135" t="s">
        <v>28</v>
      </c>
      <c r="I135" t="s">
        <v>20</v>
      </c>
      <c r="J135" t="s">
        <v>260</v>
      </c>
      <c r="K135" s="3">
        <v>46170</v>
      </c>
    </row>
    <row r="136" spans="1:12">
      <c r="A136" t="s">
        <v>1149</v>
      </c>
      <c r="B136" t="s">
        <v>1148</v>
      </c>
      <c r="C136">
        <v>10071</v>
      </c>
      <c r="D136" t="s">
        <v>1150</v>
      </c>
      <c r="E136" t="s">
        <v>1151</v>
      </c>
      <c r="F136" t="s">
        <v>292</v>
      </c>
      <c r="G136" t="s">
        <v>526</v>
      </c>
      <c r="H136" t="s">
        <v>28</v>
      </c>
      <c r="I136" t="s">
        <v>74</v>
      </c>
      <c r="J136" s="4">
        <v>1141</v>
      </c>
      <c r="K136" s="3">
        <v>46174</v>
      </c>
    </row>
    <row r="137" spans="1:12">
      <c r="A137" t="s">
        <v>1152</v>
      </c>
      <c r="B137" s="3">
        <v>46169</v>
      </c>
      <c r="C137">
        <v>10086</v>
      </c>
      <c r="D137" t="s">
        <v>1153</v>
      </c>
      <c r="E137" t="s">
        <v>1154</v>
      </c>
      <c r="F137" t="s">
        <v>26</v>
      </c>
      <c r="G137" t="s">
        <v>302</v>
      </c>
      <c r="H137" t="s">
        <v>28</v>
      </c>
      <c r="I137" t="s">
        <v>20</v>
      </c>
      <c r="J137" t="s">
        <v>1155</v>
      </c>
      <c r="K137" s="3">
        <v>46174</v>
      </c>
      <c r="L137" t="s">
        <v>1156</v>
      </c>
    </row>
    <row r="138" spans="1:12">
      <c r="A138" t="s">
        <v>1157</v>
      </c>
      <c r="B138" s="3">
        <v>46170</v>
      </c>
      <c r="C138">
        <v>10056</v>
      </c>
      <c r="D138" t="s">
        <v>333</v>
      </c>
      <c r="E138" t="s">
        <v>334</v>
      </c>
      <c r="F138" t="s">
        <v>32</v>
      </c>
      <c r="G138" t="s">
        <v>435</v>
      </c>
      <c r="H138" t="s">
        <v>28</v>
      </c>
      <c r="I138" t="s">
        <v>20</v>
      </c>
      <c r="J138" s="4">
        <v>190</v>
      </c>
      <c r="K138" s="3">
        <v>46174</v>
      </c>
    </row>
    <row r="139" spans="1:12">
      <c r="A139" t="s">
        <v>1158</v>
      </c>
      <c r="B139" s="3">
        <v>46171</v>
      </c>
      <c r="C139">
        <v>10012</v>
      </c>
      <c r="D139" t="s">
        <v>1159</v>
      </c>
      <c r="E139" t="s">
        <v>542</v>
      </c>
      <c r="F139" t="s">
        <v>17</v>
      </c>
      <c r="G139" t="s">
        <v>119</v>
      </c>
      <c r="H139" t="s">
        <v>19</v>
      </c>
      <c r="I139" t="s">
        <v>20</v>
      </c>
      <c r="J139" s="4">
        <v>139</v>
      </c>
      <c r="K139" s="3">
        <v>46174</v>
      </c>
      <c r="L139" t="s">
        <v>1160</v>
      </c>
    </row>
    <row r="140" spans="1:12">
      <c r="D140" s="5" t="s">
        <v>1161</v>
      </c>
      <c r="J140" s="6">
        <f>SUBTOTAL(9,J114:J139)</f>
        <v>33815.0</v>
      </c>
    </row>
    <row r="142" spans="1:12">
      <c r="A142" t="s">
        <v>1162</v>
      </c>
      <c r="B142" s="3">
        <v>46174</v>
      </c>
      <c r="C142">
        <v>10035</v>
      </c>
      <c r="D142" t="s">
        <v>883</v>
      </c>
      <c r="E142" t="s">
        <v>884</v>
      </c>
      <c r="F142" t="s">
        <v>17</v>
      </c>
      <c r="G142" t="s">
        <v>18</v>
      </c>
      <c r="H142" t="s">
        <v>28</v>
      </c>
      <c r="I142" t="s">
        <v>20</v>
      </c>
      <c r="J142" s="4">
        <v>139</v>
      </c>
      <c r="K142" s="3">
        <v>46178</v>
      </c>
      <c r="L142" t="s">
        <v>1163</v>
      </c>
    </row>
    <row r="143" spans="1:12">
      <c r="A143" t="s">
        <v>1164</v>
      </c>
      <c r="B143" s="3">
        <v>46174</v>
      </c>
      <c r="C143">
        <v>10046</v>
      </c>
      <c r="D143" t="s">
        <v>194</v>
      </c>
      <c r="E143" t="s">
        <v>195</v>
      </c>
      <c r="F143" t="s">
        <v>26</v>
      </c>
      <c r="G143" t="s">
        <v>155</v>
      </c>
      <c r="H143" t="s">
        <v>28</v>
      </c>
      <c r="I143" t="s">
        <v>20</v>
      </c>
      <c r="J143" s="4">
        <v>1152</v>
      </c>
      <c r="K143" s="3">
        <v>46176</v>
      </c>
      <c r="L143" t="s">
        <v>1165</v>
      </c>
    </row>
    <row r="144" spans="1:12">
      <c r="A144" t="s">
        <v>1166</v>
      </c>
      <c r="B144" s="3">
        <v>46174</v>
      </c>
      <c r="C144">
        <v>10065</v>
      </c>
      <c r="D144" t="s">
        <v>564</v>
      </c>
      <c r="E144" t="s">
        <v>565</v>
      </c>
      <c r="F144" t="s">
        <v>26</v>
      </c>
      <c r="G144" t="s">
        <v>27</v>
      </c>
      <c r="H144" t="s">
        <v>28</v>
      </c>
      <c r="I144" t="s">
        <v>20</v>
      </c>
      <c r="J144" s="4">
        <v>503</v>
      </c>
      <c r="K144" s="3">
        <v>46175</v>
      </c>
      <c r="L144" t="s">
        <v>1167</v>
      </c>
    </row>
    <row r="145" spans="1:12">
      <c r="A145" t="s">
        <v>1168</v>
      </c>
      <c r="B145" t="s">
        <v>1169</v>
      </c>
      <c r="C145">
        <v>10112</v>
      </c>
      <c r="D145" t="s">
        <v>515</v>
      </c>
      <c r="E145" t="s">
        <v>516</v>
      </c>
      <c r="F145" t="s">
        <v>46</v>
      </c>
      <c r="G145" t="s">
        <v>47</v>
      </c>
      <c r="H145" t="s">
        <v>53</v>
      </c>
      <c r="I145" t="s">
        <v>20</v>
      </c>
      <c r="J145" s="4">
        <v>10561</v>
      </c>
      <c r="K145" s="3">
        <v>46223</v>
      </c>
    </row>
    <row r="146" spans="1:12">
      <c r="A146" t="s">
        <v>1170</v>
      </c>
      <c r="B146" t="s">
        <v>1171</v>
      </c>
      <c r="C146">
        <v>10002</v>
      </c>
      <c r="D146" t="s">
        <v>219</v>
      </c>
      <c r="E146" t="s">
        <v>220</v>
      </c>
      <c r="F146" t="s">
        <v>17</v>
      </c>
      <c r="G146" t="s">
        <v>88</v>
      </c>
      <c r="H146" t="s">
        <v>40</v>
      </c>
      <c r="I146" t="s">
        <v>20</v>
      </c>
      <c r="J146" s="4">
        <v>149</v>
      </c>
      <c r="K146" s="3">
        <v>46175</v>
      </c>
    </row>
    <row r="147" spans="1:12">
      <c r="A147" t="s">
        <v>1172</v>
      </c>
      <c r="B147" t="s">
        <v>1173</v>
      </c>
      <c r="C147">
        <v>10036</v>
      </c>
      <c r="D147" t="s">
        <v>191</v>
      </c>
      <c r="E147" t="s">
        <v>192</v>
      </c>
      <c r="F147" t="s">
        <v>61</v>
      </c>
      <c r="G147" t="s">
        <v>84</v>
      </c>
      <c r="H147" t="s">
        <v>19</v>
      </c>
      <c r="I147" t="s">
        <v>20</v>
      </c>
      <c r="J147" s="4">
        <v>425</v>
      </c>
      <c r="K147" s="3">
        <v>46178</v>
      </c>
      <c r="L147" t="s">
        <v>1174</v>
      </c>
    </row>
    <row r="148" spans="1:12">
      <c r="A148" t="s">
        <v>1175</v>
      </c>
      <c r="B148" s="3">
        <v>46177</v>
      </c>
      <c r="C148">
        <v>10103</v>
      </c>
      <c r="D148" t="s">
        <v>799</v>
      </c>
      <c r="E148" t="s">
        <v>800</v>
      </c>
      <c r="F148" t="s">
        <v>17</v>
      </c>
      <c r="G148" t="s">
        <v>78</v>
      </c>
      <c r="H148" t="s">
        <v>34</v>
      </c>
      <c r="I148" t="s">
        <v>74</v>
      </c>
      <c r="J148" t="s">
        <v>361</v>
      </c>
      <c r="K148" s="3">
        <v>46182</v>
      </c>
    </row>
    <row r="149" spans="1:12">
      <c r="A149" t="s">
        <v>1176</v>
      </c>
      <c r="B149" t="s">
        <v>1177</v>
      </c>
      <c r="C149">
        <v>10043</v>
      </c>
      <c r="D149" t="s">
        <v>55</v>
      </c>
      <c r="E149" t="s">
        <v>56</v>
      </c>
      <c r="F149" t="s">
        <v>17</v>
      </c>
      <c r="G149" t="s">
        <v>78</v>
      </c>
      <c r="H149" t="s">
        <v>368</v>
      </c>
      <c r="I149" t="s">
        <v>74</v>
      </c>
      <c r="J149" s="4">
        <v>139</v>
      </c>
      <c r="K149" s="3">
        <v>46181</v>
      </c>
    </row>
    <row r="150" spans="1:12">
      <c r="A150" t="s">
        <v>1178</v>
      </c>
      <c r="B150" s="3">
        <v>46178</v>
      </c>
      <c r="D150" t="s">
        <v>626</v>
      </c>
      <c r="E150" t="s">
        <v>627</v>
      </c>
      <c r="F150" t="s">
        <v>17</v>
      </c>
      <c r="G150" t="s">
        <v>78</v>
      </c>
      <c r="H150" t="s">
        <v>40</v>
      </c>
      <c r="I150" t="s">
        <v>20</v>
      </c>
      <c r="J150" t="s">
        <v>1179</v>
      </c>
      <c r="K150" s="3">
        <v>46178</v>
      </c>
      <c r="L150" t="s">
        <v>1180</v>
      </c>
    </row>
    <row r="151" spans="1:12">
      <c r="A151" t="s">
        <v>1181</v>
      </c>
      <c r="B151" t="s">
        <v>1182</v>
      </c>
      <c r="C151">
        <v>10004</v>
      </c>
      <c r="D151" t="s">
        <v>1183</v>
      </c>
      <c r="E151" t="s">
        <v>1184</v>
      </c>
      <c r="F151" t="s">
        <v>61</v>
      </c>
      <c r="G151" t="s">
        <v>62</v>
      </c>
      <c r="H151" t="s">
        <v>34</v>
      </c>
      <c r="I151" t="s">
        <v>20</v>
      </c>
      <c r="J151" t="s">
        <v>1185</v>
      </c>
      <c r="K151" s="3">
        <v>46184</v>
      </c>
      <c r="L151" t="s">
        <v>1186</v>
      </c>
    </row>
    <row r="152" spans="1:12">
      <c r="A152" t="s">
        <v>1187</v>
      </c>
      <c r="B152" t="s">
        <v>1188</v>
      </c>
      <c r="D152" t="s">
        <v>573</v>
      </c>
      <c r="E152" t="s">
        <v>941</v>
      </c>
      <c r="F152" t="s">
        <v>17</v>
      </c>
      <c r="G152" t="s">
        <v>119</v>
      </c>
      <c r="H152" t="s">
        <v>34</v>
      </c>
      <c r="I152" t="s">
        <v>20</v>
      </c>
      <c r="J152" s="4">
        <v>139</v>
      </c>
      <c r="K152" s="3">
        <v>46181</v>
      </c>
      <c r="L152" t="s">
        <v>1189</v>
      </c>
    </row>
    <row r="153" spans="1:12">
      <c r="A153" t="s">
        <v>1190</v>
      </c>
      <c r="B153" s="3">
        <v>46182</v>
      </c>
      <c r="C153">
        <v>10039</v>
      </c>
      <c r="D153" t="s">
        <v>1191</v>
      </c>
      <c r="E153" t="s">
        <v>1192</v>
      </c>
      <c r="F153" t="s">
        <v>26</v>
      </c>
      <c r="G153" t="s">
        <v>108</v>
      </c>
      <c r="H153" t="s">
        <v>34</v>
      </c>
      <c r="I153" t="s">
        <v>63</v>
      </c>
    </row>
    <row r="154" spans="1:12">
      <c r="A154" t="s">
        <v>1193</v>
      </c>
      <c r="B154" s="3">
        <v>46182</v>
      </c>
      <c r="C154">
        <v>10045</v>
      </c>
      <c r="D154" t="s">
        <v>264</v>
      </c>
      <c r="E154" t="s">
        <v>265</v>
      </c>
      <c r="F154" t="s">
        <v>225</v>
      </c>
      <c r="G154" t="s">
        <v>266</v>
      </c>
      <c r="H154" t="s">
        <v>40</v>
      </c>
      <c r="I154" t="s">
        <v>63</v>
      </c>
    </row>
    <row r="155" spans="1:12">
      <c r="A155" t="s">
        <v>1194</v>
      </c>
      <c r="B155" s="3">
        <v>46185</v>
      </c>
      <c r="C155">
        <v>10008</v>
      </c>
      <c r="D155" t="s">
        <v>240</v>
      </c>
      <c r="E155" t="s">
        <v>281</v>
      </c>
      <c r="F155" t="s">
        <v>26</v>
      </c>
      <c r="G155" t="s">
        <v>27</v>
      </c>
      <c r="H155" t="s">
        <v>34</v>
      </c>
      <c r="I155" t="s">
        <v>20</v>
      </c>
      <c r="J155" s="4">
        <v>601</v>
      </c>
      <c r="K155" s="3">
        <v>46188</v>
      </c>
      <c r="L155" t="s">
        <v>1195</v>
      </c>
    </row>
    <row r="156" spans="1:12">
      <c r="A156" t="s">
        <v>1196</v>
      </c>
      <c r="B156" s="3">
        <v>46188</v>
      </c>
      <c r="C156">
        <v>10013</v>
      </c>
      <c r="D156" t="s">
        <v>803</v>
      </c>
      <c r="E156" t="s">
        <v>390</v>
      </c>
      <c r="F156" t="s">
        <v>225</v>
      </c>
      <c r="G156" t="s">
        <v>297</v>
      </c>
      <c r="H156" t="s">
        <v>40</v>
      </c>
      <c r="I156" t="s">
        <v>20</v>
      </c>
      <c r="J156" s="4">
        <v>250</v>
      </c>
      <c r="K156" s="3">
        <v>46190</v>
      </c>
      <c r="L156" t="s">
        <v>1197</v>
      </c>
    </row>
    <row r="157" spans="1:12">
      <c r="A157" t="s">
        <v>1198</v>
      </c>
      <c r="B157" s="3">
        <v>46188</v>
      </c>
      <c r="C157">
        <v>10018</v>
      </c>
      <c r="D157" t="s">
        <v>536</v>
      </c>
      <c r="E157" t="s">
        <v>537</v>
      </c>
      <c r="F157" t="s">
        <v>26</v>
      </c>
      <c r="G157" t="s">
        <v>242</v>
      </c>
      <c r="H157" t="s">
        <v>28</v>
      </c>
      <c r="I157" t="s">
        <v>20</v>
      </c>
      <c r="J157" t="s">
        <v>1199</v>
      </c>
      <c r="K157" s="3">
        <v>46188</v>
      </c>
      <c r="L157" t="s">
        <v>1200</v>
      </c>
    </row>
    <row r="158" spans="1:12">
      <c r="A158" t="s">
        <v>1201</v>
      </c>
      <c r="B158" s="3">
        <v>46188</v>
      </c>
      <c r="C158">
        <v>10064</v>
      </c>
      <c r="D158" t="s">
        <v>835</v>
      </c>
      <c r="E158" t="s">
        <v>836</v>
      </c>
      <c r="F158" t="s">
        <v>51</v>
      </c>
      <c r="G158" t="s">
        <v>151</v>
      </c>
      <c r="H158" t="s">
        <v>53</v>
      </c>
      <c r="I158" t="s">
        <v>20</v>
      </c>
      <c r="J158" s="4">
        <v>11731</v>
      </c>
      <c r="K158" s="3">
        <v>46231</v>
      </c>
    </row>
    <row r="159" spans="1:12">
      <c r="A159" t="s">
        <v>1202</v>
      </c>
      <c r="B159" s="3">
        <v>46188</v>
      </c>
      <c r="C159">
        <v>10101</v>
      </c>
      <c r="D159" t="s">
        <v>826</v>
      </c>
      <c r="E159" t="s">
        <v>827</v>
      </c>
      <c r="F159" t="s">
        <v>17</v>
      </c>
      <c r="G159" t="s">
        <v>78</v>
      </c>
      <c r="H159" t="s">
        <v>28</v>
      </c>
      <c r="I159" t="s">
        <v>20</v>
      </c>
      <c r="J159" s="4">
        <v>139</v>
      </c>
      <c r="K159" s="3">
        <v>46192</v>
      </c>
      <c r="L159" t="s">
        <v>1203</v>
      </c>
    </row>
    <row r="160" spans="1:12">
      <c r="A160" t="s">
        <v>1204</v>
      </c>
      <c r="B160" s="3">
        <v>46191</v>
      </c>
      <c r="C160">
        <v>10008</v>
      </c>
      <c r="D160" t="s">
        <v>556</v>
      </c>
      <c r="E160" t="s">
        <v>281</v>
      </c>
      <c r="F160" t="s">
        <v>17</v>
      </c>
      <c r="G160" t="s">
        <v>119</v>
      </c>
      <c r="H160" t="s">
        <v>28</v>
      </c>
      <c r="I160" t="s">
        <v>20</v>
      </c>
      <c r="J160" s="4">
        <v>149</v>
      </c>
      <c r="K160" s="3">
        <v>46197</v>
      </c>
    </row>
    <row r="161" spans="1:12">
      <c r="A161" t="s">
        <v>1205</v>
      </c>
      <c r="B161" s="3">
        <v>46192</v>
      </c>
      <c r="D161" t="s">
        <v>30</v>
      </c>
      <c r="E161" t="s">
        <v>31</v>
      </c>
      <c r="F161" t="s">
        <v>225</v>
      </c>
      <c r="G161" t="s">
        <v>266</v>
      </c>
      <c r="H161" t="s">
        <v>19</v>
      </c>
      <c r="I161" t="s">
        <v>20</v>
      </c>
      <c r="J161" s="4">
        <v>344</v>
      </c>
      <c r="K161" s="3">
        <v>46196</v>
      </c>
    </row>
    <row r="162" spans="1:12">
      <c r="A162" t="s">
        <v>1206</v>
      </c>
      <c r="B162" s="3">
        <v>46192</v>
      </c>
      <c r="C162">
        <v>10028</v>
      </c>
      <c r="D162" t="s">
        <v>1207</v>
      </c>
      <c r="E162" t="s">
        <v>653</v>
      </c>
      <c r="F162" t="s">
        <v>26</v>
      </c>
      <c r="G162" t="s">
        <v>302</v>
      </c>
      <c r="H162" t="s">
        <v>19</v>
      </c>
      <c r="I162" t="s">
        <v>20</v>
      </c>
      <c r="J162" s="4">
        <v>109</v>
      </c>
      <c r="K162" s="3">
        <v>46197</v>
      </c>
      <c r="L162" t="s">
        <v>1208</v>
      </c>
    </row>
    <row r="163" spans="1:12">
      <c r="A163" t="s">
        <v>1209</v>
      </c>
      <c r="B163" s="3">
        <v>46195</v>
      </c>
      <c r="C163">
        <v>10005</v>
      </c>
      <c r="D163" t="s">
        <v>594</v>
      </c>
      <c r="E163" t="s">
        <v>941</v>
      </c>
      <c r="F163" t="s">
        <v>32</v>
      </c>
      <c r="G163" t="s">
        <v>103</v>
      </c>
      <c r="H163" t="s">
        <v>40</v>
      </c>
      <c r="I163" t="s">
        <v>20</v>
      </c>
      <c r="J163" t="s">
        <v>1210</v>
      </c>
      <c r="K163" s="3">
        <v>46195</v>
      </c>
      <c r="L163" t="s">
        <v>1211</v>
      </c>
    </row>
    <row r="164" spans="1:12">
      <c r="A164" t="s">
        <v>1212</v>
      </c>
      <c r="B164" t="s">
        <v>1213</v>
      </c>
      <c r="C164">
        <v>10008</v>
      </c>
      <c r="D164" t="s">
        <v>556</v>
      </c>
      <c r="E164" t="s">
        <v>281</v>
      </c>
      <c r="F164" t="s">
        <v>17</v>
      </c>
      <c r="G164" t="s">
        <v>78</v>
      </c>
      <c r="H164" t="s">
        <v>34</v>
      </c>
      <c r="I164" t="s">
        <v>20</v>
      </c>
      <c r="J164" s="4">
        <v>139</v>
      </c>
      <c r="K164" s="3">
        <v>46195</v>
      </c>
    </row>
    <row r="165" spans="1:12">
      <c r="A165" t="s">
        <v>1214</v>
      </c>
      <c r="B165" s="3">
        <v>46195</v>
      </c>
      <c r="C165">
        <v>10024</v>
      </c>
      <c r="D165" t="s">
        <v>1215</v>
      </c>
      <c r="E165" t="s">
        <v>114</v>
      </c>
      <c r="F165" t="s">
        <v>26</v>
      </c>
      <c r="G165" t="s">
        <v>39</v>
      </c>
      <c r="H165" t="s">
        <v>28</v>
      </c>
      <c r="I165" t="s">
        <v>20</v>
      </c>
      <c r="J165" s="4">
        <v>704</v>
      </c>
      <c r="K165" s="3">
        <v>46197</v>
      </c>
      <c r="L165" t="s">
        <v>1216</v>
      </c>
    </row>
    <row r="166" spans="1:12">
      <c r="A166" t="s">
        <v>1217</v>
      </c>
      <c r="B166" s="3">
        <v>46195</v>
      </c>
      <c r="C166">
        <v>10055</v>
      </c>
      <c r="D166" t="s">
        <v>1218</v>
      </c>
      <c r="E166" t="s">
        <v>1219</v>
      </c>
      <c r="F166" t="s">
        <v>61</v>
      </c>
      <c r="G166" t="s">
        <v>62</v>
      </c>
      <c r="H166" t="s">
        <v>28</v>
      </c>
      <c r="I166" t="s">
        <v>20</v>
      </c>
      <c r="J166" t="s">
        <v>1220</v>
      </c>
      <c r="K166" s="3">
        <v>46199</v>
      </c>
      <c r="L166" t="s">
        <v>1221</v>
      </c>
    </row>
    <row r="167" spans="1:12">
      <c r="A167" t="s">
        <v>1222</v>
      </c>
      <c r="B167" t="s">
        <v>1223</v>
      </c>
      <c r="C167">
        <v>10088</v>
      </c>
      <c r="D167" t="s">
        <v>993</v>
      </c>
      <c r="E167" t="s">
        <v>729</v>
      </c>
      <c r="F167" t="s">
        <v>26</v>
      </c>
      <c r="G167" t="s">
        <v>155</v>
      </c>
      <c r="H167" t="s">
        <v>19</v>
      </c>
      <c r="I167" t="s">
        <v>20</v>
      </c>
      <c r="J167" s="4">
        <v>101</v>
      </c>
      <c r="K167" s="3">
        <v>46197</v>
      </c>
    </row>
    <row r="168" spans="1:12">
      <c r="A168" t="s">
        <v>1224</v>
      </c>
      <c r="B168" s="3">
        <v>46197</v>
      </c>
      <c r="C168">
        <v>10078</v>
      </c>
      <c r="D168" t="s">
        <v>1225</v>
      </c>
      <c r="E168" t="s">
        <v>847</v>
      </c>
      <c r="F168" t="s">
        <v>32</v>
      </c>
      <c r="G168" t="s">
        <v>68</v>
      </c>
      <c r="H168" t="s">
        <v>34</v>
      </c>
      <c r="I168" t="s">
        <v>20</v>
      </c>
      <c r="J168" s="4">
        <v>402</v>
      </c>
      <c r="K168" s="3">
        <v>46198</v>
      </c>
      <c r="L168" t="s">
        <v>1226</v>
      </c>
    </row>
    <row r="169" spans="1:12">
      <c r="A169" t="s">
        <v>1227</v>
      </c>
      <c r="B169" s="3">
        <v>46197</v>
      </c>
      <c r="C169">
        <v>10127</v>
      </c>
      <c r="D169" t="s">
        <v>708</v>
      </c>
      <c r="E169" t="s">
        <v>709</v>
      </c>
      <c r="F169" t="s">
        <v>26</v>
      </c>
      <c r="G169" t="s">
        <v>108</v>
      </c>
      <c r="H169" t="s">
        <v>34</v>
      </c>
      <c r="I169" t="s">
        <v>20</v>
      </c>
      <c r="J169" s="4">
        <v>111</v>
      </c>
      <c r="K169" s="3">
        <v>46199</v>
      </c>
      <c r="L169" t="s">
        <v>1228</v>
      </c>
    </row>
    <row r="170" spans="1:12">
      <c r="A170" t="s">
        <v>1229</v>
      </c>
      <c r="B170" s="3">
        <v>46198</v>
      </c>
      <c r="C170">
        <v>10073</v>
      </c>
      <c r="D170" t="s">
        <v>1230</v>
      </c>
      <c r="E170" t="s">
        <v>503</v>
      </c>
      <c r="F170" t="s">
        <v>292</v>
      </c>
      <c r="G170" t="s">
        <v>526</v>
      </c>
      <c r="H170" t="s">
        <v>40</v>
      </c>
      <c r="I170" t="s">
        <v>74</v>
      </c>
      <c r="J170" t="s">
        <v>1231</v>
      </c>
      <c r="K170" s="3">
        <v>46202</v>
      </c>
    </row>
    <row r="171" spans="1:12">
      <c r="A171" t="s">
        <v>1232</v>
      </c>
      <c r="B171" s="3">
        <v>46202</v>
      </c>
      <c r="C171">
        <v>10001</v>
      </c>
      <c r="D171" t="s">
        <v>445</v>
      </c>
      <c r="E171" t="s">
        <v>446</v>
      </c>
      <c r="F171" t="s">
        <v>225</v>
      </c>
      <c r="G171" t="s">
        <v>266</v>
      </c>
      <c r="H171" t="s">
        <v>40</v>
      </c>
      <c r="I171" t="s">
        <v>20</v>
      </c>
      <c r="J171" s="4">
        <v>265</v>
      </c>
      <c r="K171" s="3">
        <v>46203</v>
      </c>
    </row>
    <row r="172" spans="1:12">
      <c r="A172" t="s">
        <v>1233</v>
      </c>
      <c r="B172" s="3">
        <v>46202</v>
      </c>
      <c r="C172">
        <v>10013</v>
      </c>
      <c r="D172" t="s">
        <v>76</v>
      </c>
      <c r="E172" t="s">
        <v>77</v>
      </c>
      <c r="F172" t="s">
        <v>26</v>
      </c>
      <c r="G172" t="s">
        <v>155</v>
      </c>
      <c r="H172" t="s">
        <v>28</v>
      </c>
      <c r="I172" t="s">
        <v>20</v>
      </c>
      <c r="J172" s="4">
        <v>376</v>
      </c>
      <c r="K172" s="3">
        <v>46206</v>
      </c>
      <c r="L172" t="s">
        <v>1234</v>
      </c>
    </row>
    <row r="173" spans="1:12">
      <c r="A173" t="s">
        <v>1235</v>
      </c>
      <c r="B173" t="s">
        <v>1236</v>
      </c>
      <c r="C173">
        <v>10016</v>
      </c>
      <c r="D173" t="s">
        <v>806</v>
      </c>
      <c r="E173" t="s">
        <v>807</v>
      </c>
      <c r="F173" t="s">
        <v>26</v>
      </c>
      <c r="G173" t="s">
        <v>242</v>
      </c>
      <c r="H173" t="s">
        <v>19</v>
      </c>
      <c r="I173" t="s">
        <v>74</v>
      </c>
      <c r="J173" t="s">
        <v>841</v>
      </c>
      <c r="K173" s="3">
        <v>46204</v>
      </c>
    </row>
    <row r="174" spans="1:12">
      <c r="A174" t="s">
        <v>1237</v>
      </c>
      <c r="B174" s="3">
        <v>46202</v>
      </c>
      <c r="C174">
        <v>10090</v>
      </c>
      <c r="D174" t="s">
        <v>609</v>
      </c>
      <c r="E174" t="s">
        <v>610</v>
      </c>
      <c r="F174" t="s">
        <v>17</v>
      </c>
      <c r="G174" t="s">
        <v>18</v>
      </c>
      <c r="H174" t="s">
        <v>28</v>
      </c>
      <c r="I174" t="s">
        <v>20</v>
      </c>
      <c r="J174" s="4">
        <v>139</v>
      </c>
      <c r="K174" s="3">
        <v>46206</v>
      </c>
    </row>
    <row r="175" spans="1:12">
      <c r="A175" t="s">
        <v>1238</v>
      </c>
      <c r="B175" s="3">
        <v>46202</v>
      </c>
      <c r="C175">
        <v>10126</v>
      </c>
      <c r="D175" t="s">
        <v>1239</v>
      </c>
      <c r="E175" t="s">
        <v>25</v>
      </c>
      <c r="F175" t="s">
        <v>17</v>
      </c>
      <c r="G175" t="s">
        <v>119</v>
      </c>
      <c r="H175" t="s">
        <v>19</v>
      </c>
      <c r="I175" t="s">
        <v>20</v>
      </c>
      <c r="J175" s="4">
        <v>139</v>
      </c>
      <c r="K175" s="3">
        <v>46206</v>
      </c>
      <c r="L175" t="s">
        <v>1240</v>
      </c>
    </row>
    <row r="176" spans="1:12">
      <c r="D176" s="5" t="s">
        <v>1241</v>
      </c>
      <c r="J176" s="6">
        <f>SUBTOTAL(9,J142:J175)</f>
        <v>28906.0</v>
      </c>
    </row>
    <row r="178" spans="1:12">
      <c r="A178" t="s">
        <v>1242</v>
      </c>
      <c r="B178" t="s">
        <v>1243</v>
      </c>
      <c r="C178">
        <v>10010</v>
      </c>
      <c r="D178" t="s">
        <v>587</v>
      </c>
      <c r="E178" t="s">
        <v>588</v>
      </c>
      <c r="F178" t="s">
        <v>292</v>
      </c>
      <c r="G178" t="s">
        <v>526</v>
      </c>
      <c r="H178" t="s">
        <v>40</v>
      </c>
      <c r="I178" t="s">
        <v>20</v>
      </c>
      <c r="J178" s="4">
        <v>970</v>
      </c>
      <c r="K178" s="3">
        <v>46205</v>
      </c>
      <c r="L178" t="s">
        <v>1244</v>
      </c>
    </row>
    <row r="179" spans="1:12">
      <c r="A179" t="s">
        <v>1245</v>
      </c>
      <c r="B179" s="3">
        <v>46204</v>
      </c>
      <c r="C179">
        <v>10067</v>
      </c>
      <c r="D179" t="s">
        <v>454</v>
      </c>
      <c r="E179" t="s">
        <v>455</v>
      </c>
      <c r="F179" t="s">
        <v>26</v>
      </c>
      <c r="G179" t="s">
        <v>27</v>
      </c>
      <c r="H179" t="s">
        <v>28</v>
      </c>
      <c r="I179" t="s">
        <v>20</v>
      </c>
      <c r="J179" s="4">
        <v>146</v>
      </c>
      <c r="K179" s="3">
        <v>46209</v>
      </c>
      <c r="L179" t="s">
        <v>1246</v>
      </c>
    </row>
    <row r="180" spans="1:12">
      <c r="A180" t="s">
        <v>1247</v>
      </c>
      <c r="B180" s="3">
        <v>46204</v>
      </c>
      <c r="C180">
        <v>10107</v>
      </c>
      <c r="D180" t="s">
        <v>1248</v>
      </c>
      <c r="E180" t="s">
        <v>45</v>
      </c>
      <c r="F180" t="s">
        <v>51</v>
      </c>
      <c r="G180" t="s">
        <v>151</v>
      </c>
      <c r="H180" t="s">
        <v>48</v>
      </c>
      <c r="I180" t="s">
        <v>20</v>
      </c>
      <c r="J180" s="4">
        <v>10834</v>
      </c>
      <c r="K180" s="3">
        <v>46234</v>
      </c>
      <c r="L180" t="s">
        <v>1249</v>
      </c>
    </row>
    <row r="181" spans="1:12">
      <c r="A181" t="s">
        <v>1250</v>
      </c>
      <c r="B181" t="s">
        <v>1251</v>
      </c>
      <c r="C181">
        <v>10105</v>
      </c>
      <c r="D181" t="s">
        <v>680</v>
      </c>
      <c r="E181" t="s">
        <v>681</v>
      </c>
      <c r="F181" t="s">
        <v>61</v>
      </c>
      <c r="G181" t="s">
        <v>172</v>
      </c>
      <c r="H181" t="s">
        <v>19</v>
      </c>
      <c r="I181" t="s">
        <v>20</v>
      </c>
      <c r="J181" s="4">
        <v>1687</v>
      </c>
      <c r="K181" s="3">
        <v>46209</v>
      </c>
      <c r="L181" t="s">
        <v>1252</v>
      </c>
    </row>
    <row r="182" spans="1:12">
      <c r="A182" t="s">
        <v>1253</v>
      </c>
      <c r="B182" t="s">
        <v>1254</v>
      </c>
      <c r="C182">
        <v>10002</v>
      </c>
      <c r="D182" t="s">
        <v>219</v>
      </c>
      <c r="E182" t="s">
        <v>220</v>
      </c>
      <c r="F182" t="s">
        <v>17</v>
      </c>
      <c r="G182" t="s">
        <v>78</v>
      </c>
      <c r="H182" t="s">
        <v>40</v>
      </c>
      <c r="I182" t="s">
        <v>20</v>
      </c>
      <c r="J182" s="4">
        <v>189</v>
      </c>
      <c r="K182" s="3">
        <v>46209</v>
      </c>
    </row>
    <row r="183" spans="1:12">
      <c r="A183" t="s">
        <v>1255</v>
      </c>
      <c r="B183" s="3">
        <v>46209</v>
      </c>
      <c r="C183">
        <v>10069</v>
      </c>
      <c r="D183" t="s">
        <v>132</v>
      </c>
      <c r="E183" t="s">
        <v>133</v>
      </c>
      <c r="F183" t="s">
        <v>26</v>
      </c>
      <c r="G183" t="s">
        <v>146</v>
      </c>
      <c r="H183" t="s">
        <v>28</v>
      </c>
      <c r="I183" t="s">
        <v>20</v>
      </c>
      <c r="J183" s="4">
        <v>122</v>
      </c>
      <c r="K183" s="3">
        <v>46211</v>
      </c>
      <c r="L183" t="s">
        <v>1256</v>
      </c>
    </row>
    <row r="184" spans="1:12">
      <c r="A184" t="s">
        <v>1257</v>
      </c>
      <c r="B184" t="s">
        <v>1258</v>
      </c>
      <c r="D184" t="s">
        <v>258</v>
      </c>
      <c r="E184" t="s">
        <v>259</v>
      </c>
      <c r="F184" t="s">
        <v>61</v>
      </c>
      <c r="G184" t="s">
        <v>172</v>
      </c>
      <c r="H184" t="s">
        <v>34</v>
      </c>
      <c r="I184" t="s">
        <v>20</v>
      </c>
      <c r="J184" s="4">
        <v>652</v>
      </c>
      <c r="K184" s="3">
        <v>46210</v>
      </c>
      <c r="L184" t="s">
        <v>1259</v>
      </c>
    </row>
    <row r="185" spans="1:12">
      <c r="A185" t="s">
        <v>1260</v>
      </c>
      <c r="B185" t="s">
        <v>1261</v>
      </c>
      <c r="D185" t="s">
        <v>734</v>
      </c>
      <c r="E185" t="s">
        <v>735</v>
      </c>
      <c r="F185" t="s">
        <v>32</v>
      </c>
      <c r="G185" t="s">
        <v>435</v>
      </c>
      <c r="H185" t="s">
        <v>40</v>
      </c>
      <c r="I185" t="s">
        <v>20</v>
      </c>
      <c r="J185" s="4">
        <v>369</v>
      </c>
      <c r="K185" s="3">
        <v>46217</v>
      </c>
      <c r="L185" t="s">
        <v>1262</v>
      </c>
    </row>
    <row r="186" spans="1:12">
      <c r="A186" t="s">
        <v>1263</v>
      </c>
      <c r="B186" t="s">
        <v>1264</v>
      </c>
      <c r="C186">
        <v>10032</v>
      </c>
      <c r="D186" t="s">
        <v>245</v>
      </c>
      <c r="E186" t="s">
        <v>246</v>
      </c>
      <c r="F186" t="s">
        <v>26</v>
      </c>
      <c r="G186" t="s">
        <v>188</v>
      </c>
      <c r="H186" t="s">
        <v>28</v>
      </c>
      <c r="I186" t="s">
        <v>20</v>
      </c>
      <c r="J186" s="4">
        <v>1060</v>
      </c>
      <c r="K186" s="3">
        <v>46218</v>
      </c>
      <c r="L186" t="s">
        <v>1265</v>
      </c>
    </row>
    <row r="187" spans="1:12">
      <c r="A187" t="s">
        <v>1266</v>
      </c>
      <c r="B187" t="s">
        <v>1267</v>
      </c>
      <c r="C187">
        <v>10056</v>
      </c>
      <c r="D187" t="s">
        <v>1016</v>
      </c>
      <c r="E187" t="s">
        <v>334</v>
      </c>
      <c r="F187" t="s">
        <v>32</v>
      </c>
      <c r="G187" t="s">
        <v>103</v>
      </c>
      <c r="H187" t="s">
        <v>40</v>
      </c>
      <c r="I187" t="s">
        <v>20</v>
      </c>
      <c r="J187" t="s">
        <v>1268</v>
      </c>
      <c r="K187" s="3">
        <v>46217</v>
      </c>
    </row>
    <row r="188" spans="1:12">
      <c r="A188" t="s">
        <v>1269</v>
      </c>
      <c r="B188" s="3">
        <v>46216</v>
      </c>
      <c r="C188">
        <v>10083</v>
      </c>
      <c r="D188" t="s">
        <v>921</v>
      </c>
      <c r="E188" t="s">
        <v>693</v>
      </c>
      <c r="F188" t="s">
        <v>26</v>
      </c>
      <c r="G188" t="s">
        <v>27</v>
      </c>
      <c r="H188" t="s">
        <v>28</v>
      </c>
      <c r="I188" t="s">
        <v>74</v>
      </c>
      <c r="J188" s="4">
        <v>616</v>
      </c>
      <c r="K188" s="3">
        <v>46216</v>
      </c>
    </row>
    <row r="189" spans="1:12">
      <c r="A189" t="s">
        <v>1270</v>
      </c>
      <c r="B189" s="3">
        <v>46216</v>
      </c>
      <c r="C189">
        <v>10104</v>
      </c>
      <c r="D189" t="s">
        <v>170</v>
      </c>
      <c r="E189" t="s">
        <v>171</v>
      </c>
      <c r="F189" t="s">
        <v>17</v>
      </c>
      <c r="G189" t="s">
        <v>18</v>
      </c>
      <c r="H189" t="s">
        <v>34</v>
      </c>
      <c r="I189" t="s">
        <v>20</v>
      </c>
      <c r="J189" s="4">
        <v>139</v>
      </c>
      <c r="K189" s="3">
        <v>46220</v>
      </c>
    </row>
    <row r="190" spans="1:12">
      <c r="A190" t="s">
        <v>1271</v>
      </c>
      <c r="B190" t="s">
        <v>1272</v>
      </c>
      <c r="D190" t="s">
        <v>66</v>
      </c>
      <c r="E190" t="s">
        <v>1273</v>
      </c>
      <c r="F190" t="s">
        <v>26</v>
      </c>
      <c r="G190" t="s">
        <v>188</v>
      </c>
      <c r="H190" t="s">
        <v>40</v>
      </c>
      <c r="I190" t="s">
        <v>20</v>
      </c>
      <c r="J190" t="s">
        <v>1274</v>
      </c>
      <c r="K190" s="3">
        <v>46223</v>
      </c>
      <c r="L190" t="s">
        <v>1275</v>
      </c>
    </row>
    <row r="191" spans="1:12">
      <c r="A191" t="s">
        <v>1276</v>
      </c>
      <c r="B191" t="s">
        <v>1277</v>
      </c>
      <c r="D191" t="s">
        <v>659</v>
      </c>
      <c r="E191" t="s">
        <v>660</v>
      </c>
      <c r="F191" t="s">
        <v>32</v>
      </c>
      <c r="G191" t="s">
        <v>103</v>
      </c>
      <c r="H191" t="s">
        <v>28</v>
      </c>
      <c r="I191" t="s">
        <v>20</v>
      </c>
      <c r="J191" s="4">
        <v>587</v>
      </c>
      <c r="K191" s="3">
        <v>46223</v>
      </c>
      <c r="L191" t="s">
        <v>1278</v>
      </c>
    </row>
    <row r="192" spans="1:12">
      <c r="A192" t="s">
        <v>1279</v>
      </c>
      <c r="B192" s="3">
        <v>46219</v>
      </c>
      <c r="D192" t="s">
        <v>207</v>
      </c>
      <c r="E192" t="s">
        <v>208</v>
      </c>
      <c r="F192" t="s">
        <v>17</v>
      </c>
      <c r="G192" t="s">
        <v>88</v>
      </c>
      <c r="H192" t="s">
        <v>40</v>
      </c>
      <c r="I192" t="s">
        <v>20</v>
      </c>
      <c r="J192" s="4">
        <v>139</v>
      </c>
      <c r="K192" s="3">
        <v>46220</v>
      </c>
      <c r="L192" t="s">
        <v>1280</v>
      </c>
    </row>
    <row r="193" spans="1:12">
      <c r="A193" t="s">
        <v>1281</v>
      </c>
      <c r="B193" s="3">
        <v>46220</v>
      </c>
      <c r="C193">
        <v>10003</v>
      </c>
      <c r="D193" t="s">
        <v>483</v>
      </c>
      <c r="E193" t="s">
        <v>402</v>
      </c>
      <c r="F193" t="s">
        <v>17</v>
      </c>
      <c r="G193" t="s">
        <v>18</v>
      </c>
      <c r="H193" t="s">
        <v>34</v>
      </c>
      <c r="I193" t="s">
        <v>20</v>
      </c>
      <c r="J193" s="4">
        <v>139</v>
      </c>
      <c r="K193" s="3">
        <v>46225</v>
      </c>
      <c r="L193" t="s">
        <v>1282</v>
      </c>
    </row>
    <row r="194" spans="1:12">
      <c r="A194" t="s">
        <v>1283</v>
      </c>
      <c r="B194" t="s">
        <v>1284</v>
      </c>
      <c r="C194">
        <v>10058</v>
      </c>
      <c r="D194" t="s">
        <v>1285</v>
      </c>
      <c r="E194" t="s">
        <v>1286</v>
      </c>
      <c r="F194" t="s">
        <v>51</v>
      </c>
      <c r="G194" t="s">
        <v>52</v>
      </c>
      <c r="H194" t="s">
        <v>48</v>
      </c>
      <c r="I194" t="s">
        <v>74</v>
      </c>
      <c r="J194" t="s">
        <v>841</v>
      </c>
      <c r="K194" s="3">
        <v>46267</v>
      </c>
    </row>
    <row r="195" spans="1:12">
      <c r="A195" t="s">
        <v>1287</v>
      </c>
      <c r="B195" t="s">
        <v>1288</v>
      </c>
      <c r="C195">
        <v>10065</v>
      </c>
      <c r="D195" t="s">
        <v>564</v>
      </c>
      <c r="E195" t="s">
        <v>565</v>
      </c>
      <c r="F195" t="s">
        <v>61</v>
      </c>
      <c r="G195" t="s">
        <v>172</v>
      </c>
      <c r="H195" t="s">
        <v>19</v>
      </c>
      <c r="I195" t="s">
        <v>20</v>
      </c>
      <c r="J195" t="s">
        <v>1289</v>
      </c>
      <c r="K195" s="3">
        <v>46225</v>
      </c>
      <c r="L195" t="s">
        <v>1290</v>
      </c>
    </row>
    <row r="196" spans="1:12">
      <c r="A196" t="s">
        <v>1291</v>
      </c>
      <c r="B196" t="s">
        <v>1292</v>
      </c>
      <c r="C196">
        <v>10055</v>
      </c>
      <c r="D196" t="s">
        <v>1218</v>
      </c>
      <c r="E196" t="s">
        <v>1219</v>
      </c>
      <c r="F196" t="s">
        <v>17</v>
      </c>
      <c r="G196" t="s">
        <v>18</v>
      </c>
      <c r="H196" t="s">
        <v>34</v>
      </c>
      <c r="I196" t="s">
        <v>20</v>
      </c>
      <c r="J196" s="4">
        <v>149</v>
      </c>
      <c r="K196" s="3">
        <v>46230</v>
      </c>
    </row>
    <row r="197" spans="1:12">
      <c r="A197" t="s">
        <v>1293</v>
      </c>
      <c r="B197" s="3">
        <v>46225</v>
      </c>
      <c r="C197">
        <v>10085</v>
      </c>
      <c r="D197" t="s">
        <v>237</v>
      </c>
      <c r="E197" t="s">
        <v>150</v>
      </c>
      <c r="F197" t="s">
        <v>32</v>
      </c>
      <c r="G197" t="s">
        <v>68</v>
      </c>
      <c r="H197" t="s">
        <v>19</v>
      </c>
      <c r="I197" t="s">
        <v>20</v>
      </c>
      <c r="J197" s="4">
        <v>587</v>
      </c>
      <c r="K197" s="3">
        <v>46231</v>
      </c>
      <c r="L197" t="s">
        <v>1294</v>
      </c>
    </row>
    <row r="198" spans="1:12">
      <c r="A198" t="s">
        <v>1295</v>
      </c>
      <c r="B198" t="s">
        <v>1296</v>
      </c>
      <c r="C198">
        <v>10094</v>
      </c>
      <c r="D198" t="s">
        <v>216</v>
      </c>
      <c r="E198" t="s">
        <v>217</v>
      </c>
      <c r="F198" t="s">
        <v>17</v>
      </c>
      <c r="G198" t="s">
        <v>18</v>
      </c>
      <c r="H198" t="s">
        <v>40</v>
      </c>
      <c r="I198" t="s">
        <v>20</v>
      </c>
      <c r="J198" s="4">
        <v>139</v>
      </c>
      <c r="K198" s="3">
        <v>46231</v>
      </c>
      <c r="L198" t="s">
        <v>1297</v>
      </c>
    </row>
    <row r="199" spans="1:12">
      <c r="A199" t="s">
        <v>1298</v>
      </c>
      <c r="B199" s="3">
        <v>46227</v>
      </c>
      <c r="C199">
        <v>10071</v>
      </c>
      <c r="D199" t="s">
        <v>1299</v>
      </c>
      <c r="E199" t="s">
        <v>1151</v>
      </c>
      <c r="F199" t="s">
        <v>46</v>
      </c>
      <c r="G199" t="s">
        <v>47</v>
      </c>
      <c r="H199" t="s">
        <v>663</v>
      </c>
      <c r="I199" t="s">
        <v>20</v>
      </c>
      <c r="J199" s="4">
        <v>12621</v>
      </c>
      <c r="K199" s="3">
        <v>46259</v>
      </c>
      <c r="L199" t="s">
        <v>1300</v>
      </c>
    </row>
    <row r="200" spans="1:12">
      <c r="A200" t="s">
        <v>1301</v>
      </c>
      <c r="B200" s="3">
        <v>46230</v>
      </c>
      <c r="D200" t="s">
        <v>76</v>
      </c>
      <c r="E200" t="s">
        <v>1302</v>
      </c>
      <c r="F200" t="s">
        <v>17</v>
      </c>
      <c r="G200" t="s">
        <v>78</v>
      </c>
      <c r="H200" t="s">
        <v>34</v>
      </c>
      <c r="I200" t="s">
        <v>20</v>
      </c>
      <c r="J200" s="4">
        <v>139</v>
      </c>
      <c r="K200" s="3">
        <v>46232</v>
      </c>
      <c r="L200" t="s">
        <v>1303</v>
      </c>
    </row>
    <row r="201" spans="1:12">
      <c r="A201" t="s">
        <v>1304</v>
      </c>
      <c r="B201" t="s">
        <v>1305</v>
      </c>
      <c r="C201">
        <v>10053</v>
      </c>
      <c r="D201" t="s">
        <v>1306</v>
      </c>
      <c r="E201" t="s">
        <v>426</v>
      </c>
      <c r="F201" t="s">
        <v>26</v>
      </c>
      <c r="G201" t="s">
        <v>39</v>
      </c>
      <c r="H201" t="s">
        <v>40</v>
      </c>
      <c r="I201" t="s">
        <v>20</v>
      </c>
      <c r="J201" t="s">
        <v>841</v>
      </c>
      <c r="K201" s="3">
        <v>46237</v>
      </c>
      <c r="L201" t="s">
        <v>1307</v>
      </c>
    </row>
    <row r="202" spans="1:12">
      <c r="A202" t="s">
        <v>1308</v>
      </c>
      <c r="B202" s="3">
        <v>46232</v>
      </c>
      <c r="D202" t="s">
        <v>1218</v>
      </c>
      <c r="E202" t="s">
        <v>1219</v>
      </c>
      <c r="F202" t="s">
        <v>17</v>
      </c>
      <c r="G202" t="s">
        <v>119</v>
      </c>
      <c r="H202" t="s">
        <v>368</v>
      </c>
      <c r="I202" t="s">
        <v>20</v>
      </c>
      <c r="J202" s="4">
        <v>139</v>
      </c>
      <c r="K202" s="3">
        <v>46237</v>
      </c>
      <c r="L202" t="s">
        <v>1309</v>
      </c>
    </row>
    <row r="203" spans="1:12">
      <c r="A203" t="s">
        <v>1310</v>
      </c>
      <c r="B203" t="s">
        <v>1311</v>
      </c>
      <c r="C203">
        <v>10105</v>
      </c>
      <c r="D203" t="s">
        <v>680</v>
      </c>
      <c r="E203" t="s">
        <v>681</v>
      </c>
      <c r="F203" t="s">
        <v>17</v>
      </c>
      <c r="G203" t="s">
        <v>78</v>
      </c>
      <c r="H203" t="s">
        <v>40</v>
      </c>
      <c r="I203" t="s">
        <v>20</v>
      </c>
      <c r="J203" s="4">
        <v>139</v>
      </c>
      <c r="K203" s="3">
        <v>46232</v>
      </c>
      <c r="L203" t="s">
        <v>1312</v>
      </c>
    </row>
    <row r="204" spans="1:12">
      <c r="A204" t="s">
        <v>1313</v>
      </c>
      <c r="B204" s="3">
        <v>46233</v>
      </c>
      <c r="C204">
        <v>10059</v>
      </c>
      <c r="D204" t="s">
        <v>1314</v>
      </c>
      <c r="E204" t="s">
        <v>492</v>
      </c>
      <c r="F204" t="s">
        <v>26</v>
      </c>
      <c r="G204" t="s">
        <v>242</v>
      </c>
      <c r="H204" t="s">
        <v>34</v>
      </c>
      <c r="I204" t="s">
        <v>20</v>
      </c>
      <c r="J204" s="4">
        <v>955</v>
      </c>
      <c r="K204" s="3">
        <v>46233</v>
      </c>
      <c r="L204" t="s">
        <v>1315</v>
      </c>
    </row>
    <row r="205" spans="1:12">
      <c r="A205" t="s">
        <v>1316</v>
      </c>
      <c r="B205" t="s">
        <v>1317</v>
      </c>
      <c r="C205">
        <v>10099</v>
      </c>
      <c r="D205" t="s">
        <v>636</v>
      </c>
      <c r="E205" t="s">
        <v>410</v>
      </c>
      <c r="F205" t="s">
        <v>26</v>
      </c>
      <c r="G205" t="s">
        <v>302</v>
      </c>
      <c r="H205" t="s">
        <v>34</v>
      </c>
      <c r="I205" t="s">
        <v>20</v>
      </c>
      <c r="J205" s="4">
        <v>560</v>
      </c>
      <c r="K205" s="3">
        <v>46238</v>
      </c>
      <c r="L205" t="s">
        <v>1318</v>
      </c>
    </row>
    <row r="206" spans="1:12">
      <c r="A206" t="s">
        <v>1319</v>
      </c>
      <c r="B206" s="3">
        <v>46234</v>
      </c>
      <c r="D206" t="s">
        <v>349</v>
      </c>
      <c r="E206" t="s">
        <v>350</v>
      </c>
      <c r="F206" t="s">
        <v>26</v>
      </c>
      <c r="G206" t="s">
        <v>302</v>
      </c>
      <c r="H206" t="s">
        <v>19</v>
      </c>
      <c r="I206" t="s">
        <v>20</v>
      </c>
      <c r="J206" s="4">
        <v>913</v>
      </c>
      <c r="K206" s="3">
        <v>46239</v>
      </c>
      <c r="L206" t="s">
        <v>1320</v>
      </c>
    </row>
    <row r="207" spans="1:12">
      <c r="A207" t="s">
        <v>1321</v>
      </c>
      <c r="B207" s="3">
        <v>46234</v>
      </c>
      <c r="D207" t="s">
        <v>532</v>
      </c>
      <c r="E207" t="s">
        <v>533</v>
      </c>
      <c r="F207" t="s">
        <v>17</v>
      </c>
      <c r="G207" t="s">
        <v>119</v>
      </c>
      <c r="H207" t="s">
        <v>34</v>
      </c>
      <c r="I207" t="s">
        <v>63</v>
      </c>
      <c r="J207" t="s">
        <v>361</v>
      </c>
    </row>
    <row r="208" spans="1:12">
      <c r="A208" t="s">
        <v>1322</v>
      </c>
      <c r="B208" t="s">
        <v>1323</v>
      </c>
      <c r="C208">
        <v>10132</v>
      </c>
      <c r="D208" t="s">
        <v>207</v>
      </c>
      <c r="E208" t="s">
        <v>208</v>
      </c>
      <c r="F208" t="s">
        <v>17</v>
      </c>
      <c r="G208" t="s">
        <v>88</v>
      </c>
      <c r="H208" t="s">
        <v>34</v>
      </c>
      <c r="I208" t="s">
        <v>20</v>
      </c>
      <c r="J208" t="s">
        <v>1179</v>
      </c>
      <c r="K208" s="3">
        <v>46238</v>
      </c>
    </row>
    <row r="209" spans="1:12">
      <c r="D209" s="5" t="s">
        <v>1324</v>
      </c>
      <c r="J209" s="6">
        <f>SUBTOTAL(9,J178:J208)</f>
        <v>33990.0</v>
      </c>
    </row>
    <row r="211" spans="1:12">
      <c r="A211" t="s">
        <v>1325</v>
      </c>
      <c r="B211" s="3">
        <v>46237</v>
      </c>
      <c r="C211">
        <v>10050</v>
      </c>
      <c r="D211" t="s">
        <v>95</v>
      </c>
      <c r="E211" t="s">
        <v>38</v>
      </c>
      <c r="F211" t="s">
        <v>32</v>
      </c>
      <c r="G211" t="s">
        <v>435</v>
      </c>
      <c r="H211" t="s">
        <v>28</v>
      </c>
      <c r="I211" t="s">
        <v>1326</v>
      </c>
      <c r="J211" s="4">
        <v>609</v>
      </c>
    </row>
    <row r="212" spans="1:12">
      <c r="A212" t="s">
        <v>1327</v>
      </c>
      <c r="B212" t="s">
        <v>1328</v>
      </c>
      <c r="C212">
        <v>10013</v>
      </c>
      <c r="D212" t="s">
        <v>76</v>
      </c>
      <c r="E212" t="s">
        <v>1302</v>
      </c>
      <c r="F212" t="s">
        <v>225</v>
      </c>
      <c r="G212" t="s">
        <v>226</v>
      </c>
      <c r="H212" t="s">
        <v>34</v>
      </c>
      <c r="I212" t="s">
        <v>74</v>
      </c>
      <c r="J212" s="4">
        <v>464</v>
      </c>
      <c r="K212" s="3">
        <v>46244</v>
      </c>
    </row>
    <row r="213" spans="1:12">
      <c r="A213" t="s">
        <v>1329</v>
      </c>
      <c r="B213" s="3">
        <v>46238</v>
      </c>
      <c r="C213">
        <v>10082</v>
      </c>
      <c r="D213" t="s">
        <v>66</v>
      </c>
      <c r="E213" t="s">
        <v>67</v>
      </c>
      <c r="F213" t="s">
        <v>32</v>
      </c>
      <c r="G213" t="s">
        <v>68</v>
      </c>
      <c r="H213" t="s">
        <v>28</v>
      </c>
      <c r="I213" t="s">
        <v>74</v>
      </c>
      <c r="J213" t="s">
        <v>1330</v>
      </c>
      <c r="K213" s="3">
        <v>46241</v>
      </c>
    </row>
    <row r="214" spans="1:12">
      <c r="A214" t="s">
        <v>1331</v>
      </c>
      <c r="B214" s="3">
        <v>46244</v>
      </c>
      <c r="C214">
        <v>10008</v>
      </c>
      <c r="D214" t="s">
        <v>556</v>
      </c>
      <c r="E214" t="s">
        <v>281</v>
      </c>
      <c r="F214" t="s">
        <v>32</v>
      </c>
      <c r="G214" t="s">
        <v>68</v>
      </c>
      <c r="H214" t="s">
        <v>34</v>
      </c>
      <c r="I214" t="s">
        <v>74</v>
      </c>
      <c r="J214" t="s">
        <v>602</v>
      </c>
      <c r="K214" t="s">
        <v>1332</v>
      </c>
    </row>
    <row r="215" spans="1:12">
      <c r="A215" t="s">
        <v>1333</v>
      </c>
      <c r="B215" s="3">
        <v>46244</v>
      </c>
      <c r="D215" t="s">
        <v>883</v>
      </c>
      <c r="E215" t="s">
        <v>884</v>
      </c>
      <c r="F215" t="s">
        <v>26</v>
      </c>
      <c r="G215" t="s">
        <v>108</v>
      </c>
      <c r="H215" t="s">
        <v>19</v>
      </c>
      <c r="I215" t="s">
        <v>20</v>
      </c>
      <c r="J215" s="4">
        <v>295</v>
      </c>
      <c r="K215" s="3">
        <v>46248</v>
      </c>
      <c r="L215" t="s">
        <v>1334</v>
      </c>
    </row>
    <row r="216" spans="1:12">
      <c r="A216" t="s">
        <v>1335</v>
      </c>
      <c r="B216" t="s">
        <v>1336</v>
      </c>
      <c r="C216">
        <v>10132</v>
      </c>
      <c r="D216" t="s">
        <v>207</v>
      </c>
      <c r="E216" t="s">
        <v>208</v>
      </c>
      <c r="F216" t="s">
        <v>61</v>
      </c>
      <c r="G216" t="s">
        <v>124</v>
      </c>
      <c r="H216" t="s">
        <v>34</v>
      </c>
      <c r="I216" t="s">
        <v>1326</v>
      </c>
      <c r="J216" s="4">
        <v>766</v>
      </c>
    </row>
    <row r="217" spans="1:12">
      <c r="A217" t="s">
        <v>1337</v>
      </c>
      <c r="B217" s="3">
        <v>46245</v>
      </c>
      <c r="D217" t="s">
        <v>666</v>
      </c>
      <c r="E217" t="s">
        <v>130</v>
      </c>
      <c r="F217" t="s">
        <v>61</v>
      </c>
      <c r="G217" t="s">
        <v>1338</v>
      </c>
      <c r="H217" t="s">
        <v>40</v>
      </c>
      <c r="I217" t="s">
        <v>20</v>
      </c>
      <c r="J217" t="s">
        <v>1339</v>
      </c>
      <c r="K217" s="3">
        <v>46247</v>
      </c>
      <c r="L217" t="s">
        <v>1340</v>
      </c>
    </row>
    <row r="218" spans="1:12">
      <c r="A218" t="s">
        <v>1341</v>
      </c>
      <c r="B218" s="3">
        <v>46246</v>
      </c>
      <c r="C218">
        <v>10082</v>
      </c>
      <c r="D218" t="s">
        <v>66</v>
      </c>
      <c r="E218" t="s">
        <v>1273</v>
      </c>
      <c r="F218" t="s">
        <v>26</v>
      </c>
      <c r="G218" t="s">
        <v>146</v>
      </c>
      <c r="H218" t="s">
        <v>28</v>
      </c>
      <c r="I218" t="s">
        <v>20</v>
      </c>
      <c r="J218" s="4">
        <v>963</v>
      </c>
      <c r="K218" s="3">
        <v>46248</v>
      </c>
      <c r="L218" t="s">
        <v>1342</v>
      </c>
    </row>
    <row r="219" spans="1:12">
      <c r="A219" t="s">
        <v>1343</v>
      </c>
      <c r="B219" s="3">
        <v>46248</v>
      </c>
      <c r="C219">
        <v>10111</v>
      </c>
      <c r="D219" t="s">
        <v>734</v>
      </c>
      <c r="E219" t="s">
        <v>735</v>
      </c>
      <c r="F219" t="s">
        <v>17</v>
      </c>
      <c r="G219" t="s">
        <v>78</v>
      </c>
      <c r="H219" t="s">
        <v>28</v>
      </c>
      <c r="I219" t="s">
        <v>74</v>
      </c>
      <c r="J219" s="4">
        <v>139</v>
      </c>
      <c r="K219" s="3">
        <v>46253</v>
      </c>
    </row>
    <row r="220" spans="1:12">
      <c r="A220" t="s">
        <v>1344</v>
      </c>
      <c r="B220" s="3">
        <v>46253</v>
      </c>
      <c r="C220">
        <v>10085</v>
      </c>
      <c r="D220" t="s">
        <v>1345</v>
      </c>
      <c r="E220" t="s">
        <v>150</v>
      </c>
      <c r="F220" t="s">
        <v>17</v>
      </c>
      <c r="G220" t="s">
        <v>88</v>
      </c>
      <c r="H220" t="s">
        <v>28</v>
      </c>
      <c r="I220" t="s">
        <v>20</v>
      </c>
      <c r="J220" t="s">
        <v>361</v>
      </c>
      <c r="K220" s="3">
        <v>46259</v>
      </c>
      <c r="L220" t="s">
        <v>1346</v>
      </c>
    </row>
    <row r="221" spans="1:12">
      <c r="A221" t="s">
        <v>1347</v>
      </c>
      <c r="B221" s="3">
        <v>46255</v>
      </c>
      <c r="C221">
        <v>10127</v>
      </c>
      <c r="D221" t="s">
        <v>708</v>
      </c>
      <c r="E221" t="s">
        <v>709</v>
      </c>
      <c r="F221" t="s">
        <v>46</v>
      </c>
      <c r="G221" t="s">
        <v>47</v>
      </c>
      <c r="H221" t="s">
        <v>48</v>
      </c>
      <c r="I221" t="s">
        <v>74</v>
      </c>
      <c r="J221" t="s">
        <v>1348</v>
      </c>
      <c r="K221" s="3">
        <v>46283</v>
      </c>
    </row>
    <row r="222" spans="1:12">
      <c r="A222" t="s">
        <v>1349</v>
      </c>
      <c r="B222" s="3">
        <v>46259</v>
      </c>
      <c r="C222">
        <v>10068</v>
      </c>
      <c r="D222" t="s">
        <v>250</v>
      </c>
      <c r="E222" t="s">
        <v>251</v>
      </c>
      <c r="F222" t="s">
        <v>26</v>
      </c>
      <c r="G222" t="s">
        <v>242</v>
      </c>
      <c r="H222" t="s">
        <v>28</v>
      </c>
      <c r="I222" t="s">
        <v>20</v>
      </c>
      <c r="J222" s="4">
        <v>446</v>
      </c>
      <c r="K222" s="3">
        <v>46259</v>
      </c>
      <c r="L222" t="s">
        <v>1350</v>
      </c>
    </row>
    <row r="223" spans="1:12">
      <c r="A223" t="s">
        <v>1351</v>
      </c>
      <c r="B223" t="s">
        <v>1352</v>
      </c>
      <c r="C223">
        <v>10099</v>
      </c>
      <c r="D223" t="s">
        <v>636</v>
      </c>
      <c r="E223" t="s">
        <v>410</v>
      </c>
      <c r="F223" t="s">
        <v>61</v>
      </c>
      <c r="G223" t="s">
        <v>62</v>
      </c>
      <c r="H223" t="s">
        <v>34</v>
      </c>
      <c r="I223" t="s">
        <v>20</v>
      </c>
      <c r="J223" s="4">
        <v>552</v>
      </c>
      <c r="K223" s="3">
        <v>46266</v>
      </c>
      <c r="L223" t="s">
        <v>1353</v>
      </c>
    </row>
    <row r="224" spans="1:12">
      <c r="A224" t="s">
        <v>1354</v>
      </c>
      <c r="B224" t="s">
        <v>1355</v>
      </c>
      <c r="C224">
        <v>10080</v>
      </c>
      <c r="D224" t="s">
        <v>850</v>
      </c>
      <c r="E224" t="s">
        <v>851</v>
      </c>
      <c r="F224" t="s">
        <v>17</v>
      </c>
      <c r="G224" t="s">
        <v>78</v>
      </c>
      <c r="H224" t="s">
        <v>40</v>
      </c>
      <c r="I224" t="s">
        <v>1326</v>
      </c>
      <c r="J224" t="s">
        <v>1356</v>
      </c>
    </row>
    <row r="225" spans="1:12">
      <c r="A225" t="s">
        <v>1357</v>
      </c>
      <c r="B225" s="3">
        <v>46262</v>
      </c>
      <c r="C225">
        <v>10104</v>
      </c>
      <c r="D225" t="s">
        <v>170</v>
      </c>
      <c r="E225" t="s">
        <v>171</v>
      </c>
      <c r="F225" t="s">
        <v>17</v>
      </c>
      <c r="G225" t="s">
        <v>88</v>
      </c>
      <c r="H225" t="s">
        <v>40</v>
      </c>
      <c r="I225" t="s">
        <v>74</v>
      </c>
      <c r="J225" t="s">
        <v>1356</v>
      </c>
      <c r="K225" s="3">
        <v>46267</v>
      </c>
    </row>
    <row r="226" spans="1:12">
      <c r="A226" t="s">
        <v>1358</v>
      </c>
      <c r="B226" s="3">
        <v>46262</v>
      </c>
      <c r="D226" t="s">
        <v>986</v>
      </c>
      <c r="E226" t="s">
        <v>987</v>
      </c>
      <c r="F226" t="s">
        <v>46</v>
      </c>
      <c r="G226" t="s">
        <v>512</v>
      </c>
      <c r="H226" t="s">
        <v>604</v>
      </c>
      <c r="I226" t="s">
        <v>1326</v>
      </c>
      <c r="J226" t="s">
        <v>1359</v>
      </c>
    </row>
    <row r="227" spans="1:12">
      <c r="A227" t="s">
        <v>1360</v>
      </c>
      <c r="B227" s="3">
        <v>46265</v>
      </c>
      <c r="C227">
        <v>10050</v>
      </c>
      <c r="D227" t="s">
        <v>37</v>
      </c>
      <c r="E227" t="s">
        <v>111</v>
      </c>
      <c r="F227" t="s">
        <v>17</v>
      </c>
      <c r="G227" t="s">
        <v>18</v>
      </c>
      <c r="H227" t="s">
        <v>19</v>
      </c>
      <c r="I227" t="s">
        <v>20</v>
      </c>
      <c r="J227" t="s">
        <v>361</v>
      </c>
      <c r="K227" s="3">
        <v>46269</v>
      </c>
      <c r="L227" t="s">
        <v>1361</v>
      </c>
    </row>
    <row r="228" spans="1:12">
      <c r="A228" t="s">
        <v>1362</v>
      </c>
      <c r="B228" s="3">
        <v>46265</v>
      </c>
      <c r="C228">
        <v>10115</v>
      </c>
      <c r="D228" t="s">
        <v>1363</v>
      </c>
      <c r="E228" t="s">
        <v>760</v>
      </c>
      <c r="F228" t="s">
        <v>46</v>
      </c>
      <c r="G228" t="s">
        <v>47</v>
      </c>
      <c r="H228" t="s">
        <v>663</v>
      </c>
      <c r="I228" t="s">
        <v>1326</v>
      </c>
      <c r="J228" t="s">
        <v>1364</v>
      </c>
    </row>
    <row r="229" spans="1:12">
      <c r="D229" s="5" t="s">
        <v>1365</v>
      </c>
      <c r="J229" s="6">
        <f>SUBTOTAL(9,J211:J228)</f>
        <v>4234.0</v>
      </c>
    </row>
    <row r="231" spans="1:12">
      <c r="A231" t="s">
        <v>1366</v>
      </c>
      <c r="B231" s="3">
        <v>46266</v>
      </c>
      <c r="D231" t="s">
        <v>458</v>
      </c>
      <c r="E231" t="s">
        <v>265</v>
      </c>
      <c r="F231" t="s">
        <v>225</v>
      </c>
      <c r="G231" t="s">
        <v>297</v>
      </c>
      <c r="H231" t="s">
        <v>28</v>
      </c>
      <c r="I231" t="s">
        <v>20</v>
      </c>
      <c r="J231" s="4">
        <v>394</v>
      </c>
      <c r="K231" s="3">
        <v>46267</v>
      </c>
      <c r="L231" t="s">
        <v>1367</v>
      </c>
    </row>
    <row r="232" spans="1:12">
      <c r="A232" t="s">
        <v>1368</v>
      </c>
      <c r="B232" t="s">
        <v>1369</v>
      </c>
      <c r="C232">
        <v>10005</v>
      </c>
      <c r="D232" t="s">
        <v>1059</v>
      </c>
      <c r="E232" t="s">
        <v>186</v>
      </c>
      <c r="F232" t="s">
        <v>17</v>
      </c>
      <c r="G232" t="s">
        <v>18</v>
      </c>
      <c r="H232" t="s">
        <v>28</v>
      </c>
      <c r="I232" t="s">
        <v>20</v>
      </c>
      <c r="J232" t="s">
        <v>1356</v>
      </c>
      <c r="K232" t="s">
        <v>1370</v>
      </c>
      <c r="L232" t="s">
        <v>1371</v>
      </c>
    </row>
    <row r="233" spans="1:12">
      <c r="A233" t="s">
        <v>1372</v>
      </c>
      <c r="B233" s="3">
        <v>46269</v>
      </c>
      <c r="C233">
        <v>10008</v>
      </c>
      <c r="D233" t="s">
        <v>240</v>
      </c>
      <c r="E233" t="s">
        <v>224</v>
      </c>
      <c r="F233" t="s">
        <v>26</v>
      </c>
      <c r="G233" t="s">
        <v>155</v>
      </c>
      <c r="H233" t="s">
        <v>28</v>
      </c>
      <c r="I233" t="s">
        <v>74</v>
      </c>
      <c r="J233" t="s">
        <v>841</v>
      </c>
      <c r="K233" s="3">
        <v>46273</v>
      </c>
    </row>
    <row r="234" spans="1:12">
      <c r="A234" t="s">
        <v>1373</v>
      </c>
      <c r="B234" s="3">
        <v>46269</v>
      </c>
      <c r="C234">
        <v>10023</v>
      </c>
      <c r="D234" t="s">
        <v>129</v>
      </c>
      <c r="E234" t="s">
        <v>130</v>
      </c>
      <c r="F234" t="s">
        <v>26</v>
      </c>
      <c r="G234" t="s">
        <v>108</v>
      </c>
      <c r="H234" t="s">
        <v>19</v>
      </c>
      <c r="I234" t="s">
        <v>20</v>
      </c>
      <c r="J234" t="s">
        <v>1374</v>
      </c>
      <c r="K234" s="3">
        <v>46275</v>
      </c>
      <c r="L234" t="s">
        <v>1375</v>
      </c>
    </row>
    <row r="235" spans="1:12">
      <c r="A235" t="s">
        <v>1376</v>
      </c>
      <c r="B235" t="s">
        <v>1377</v>
      </c>
      <c r="C235">
        <v>10095</v>
      </c>
      <c r="D235" t="s">
        <v>1127</v>
      </c>
      <c r="E235" t="s">
        <v>1128</v>
      </c>
      <c r="F235" t="s">
        <v>61</v>
      </c>
      <c r="G235" t="s">
        <v>84</v>
      </c>
      <c r="H235" t="s">
        <v>40</v>
      </c>
      <c r="I235" t="s">
        <v>20</v>
      </c>
      <c r="J235" t="s">
        <v>1378</v>
      </c>
      <c r="K235" s="3">
        <v>46269</v>
      </c>
      <c r="L235" t="s">
        <v>1379</v>
      </c>
    </row>
    <row r="236" spans="1:12">
      <c r="A236" t="s">
        <v>1380</v>
      </c>
      <c r="B236" s="3">
        <v>46272</v>
      </c>
      <c r="C236">
        <v>10038</v>
      </c>
      <c r="D236" t="s">
        <v>1381</v>
      </c>
      <c r="E236" t="s">
        <v>1382</v>
      </c>
      <c r="F236" t="s">
        <v>61</v>
      </c>
      <c r="G236" t="s">
        <v>172</v>
      </c>
      <c r="H236" t="s">
        <v>34</v>
      </c>
      <c r="I236" t="s">
        <v>20</v>
      </c>
      <c r="J236" t="s">
        <v>841</v>
      </c>
      <c r="K236" s="3">
        <v>46275</v>
      </c>
    </row>
    <row r="237" spans="1:12">
      <c r="A237" t="s">
        <v>1383</v>
      </c>
      <c r="B237" s="3">
        <v>46272</v>
      </c>
      <c r="C237">
        <v>10057</v>
      </c>
      <c r="D237" t="s">
        <v>71</v>
      </c>
      <c r="E237" t="s">
        <v>72</v>
      </c>
      <c r="F237" t="s">
        <v>51</v>
      </c>
      <c r="G237" t="s">
        <v>52</v>
      </c>
      <c r="H237" t="s">
        <v>53</v>
      </c>
      <c r="I237" t="s">
        <v>74</v>
      </c>
      <c r="J237" s="4">
        <v>13654</v>
      </c>
      <c r="K237" s="3">
        <v>46294</v>
      </c>
    </row>
    <row r="238" spans="1:12">
      <c r="A238" t="s">
        <v>1384</v>
      </c>
      <c r="B238" t="s">
        <v>1385</v>
      </c>
      <c r="D238" t="s">
        <v>1386</v>
      </c>
      <c r="E238" t="s">
        <v>618</v>
      </c>
      <c r="F238" t="s">
        <v>61</v>
      </c>
      <c r="G238" t="s">
        <v>84</v>
      </c>
      <c r="H238" t="s">
        <v>40</v>
      </c>
      <c r="I238" t="s">
        <v>20</v>
      </c>
      <c r="J238" s="4">
        <v>319</v>
      </c>
      <c r="K238" s="3">
        <v>46272</v>
      </c>
      <c r="L238" t="s">
        <v>1387</v>
      </c>
    </row>
    <row r="239" spans="1:12">
      <c r="A239" t="s">
        <v>1388</v>
      </c>
      <c r="B239" s="3">
        <v>46272</v>
      </c>
      <c r="C239">
        <v>10099</v>
      </c>
      <c r="D239" t="s">
        <v>636</v>
      </c>
      <c r="E239" t="s">
        <v>410</v>
      </c>
      <c r="F239" t="s">
        <v>17</v>
      </c>
      <c r="G239" t="s">
        <v>119</v>
      </c>
      <c r="H239" t="s">
        <v>40</v>
      </c>
      <c r="I239" t="s">
        <v>1326</v>
      </c>
      <c r="J239" s="4">
        <v>189</v>
      </c>
    </row>
    <row r="240" spans="1:12">
      <c r="A240" t="s">
        <v>1389</v>
      </c>
      <c r="B240" s="3">
        <v>46272</v>
      </c>
      <c r="C240">
        <v>10104</v>
      </c>
      <c r="D240" t="s">
        <v>170</v>
      </c>
      <c r="E240" t="s">
        <v>171</v>
      </c>
      <c r="F240" t="s">
        <v>17</v>
      </c>
      <c r="G240" t="s">
        <v>88</v>
      </c>
      <c r="H240" t="s">
        <v>28</v>
      </c>
      <c r="I240" t="s">
        <v>20</v>
      </c>
      <c r="J240" s="4">
        <v>139</v>
      </c>
      <c r="K240" s="3">
        <v>46273</v>
      </c>
      <c r="L240" t="s">
        <v>1390</v>
      </c>
    </row>
    <row r="241" spans="1:12">
      <c r="A241" t="s">
        <v>1391</v>
      </c>
      <c r="B241" t="s">
        <v>1385</v>
      </c>
      <c r="C241">
        <v>10110</v>
      </c>
      <c r="D241" t="s">
        <v>859</v>
      </c>
      <c r="E241" t="s">
        <v>289</v>
      </c>
      <c r="F241" t="s">
        <v>17</v>
      </c>
      <c r="G241" t="s">
        <v>88</v>
      </c>
      <c r="H241" t="s">
        <v>34</v>
      </c>
      <c r="I241" t="s">
        <v>1326</v>
      </c>
      <c r="J241" s="4">
        <v>189</v>
      </c>
    </row>
    <row r="242" spans="1:12">
      <c r="A242" t="s">
        <v>1392</v>
      </c>
      <c r="B242" s="3">
        <v>46273</v>
      </c>
      <c r="C242">
        <v>10127</v>
      </c>
      <c r="D242" t="s">
        <v>708</v>
      </c>
      <c r="E242" t="s">
        <v>709</v>
      </c>
      <c r="F242" t="s">
        <v>26</v>
      </c>
      <c r="G242" t="s">
        <v>108</v>
      </c>
      <c r="H242" t="s">
        <v>28</v>
      </c>
      <c r="I242" t="s">
        <v>1326</v>
      </c>
      <c r="J242" t="s">
        <v>1393</v>
      </c>
    </row>
    <row r="243" spans="1:12">
      <c r="A243" t="s">
        <v>1394</v>
      </c>
      <c r="B243" t="s">
        <v>1395</v>
      </c>
      <c r="D243" t="s">
        <v>993</v>
      </c>
      <c r="E243" t="s">
        <v>994</v>
      </c>
      <c r="F243" t="s">
        <v>26</v>
      </c>
      <c r="G243" t="s">
        <v>1396</v>
      </c>
      <c r="H243" t="s">
        <v>19</v>
      </c>
      <c r="I243" t="s">
        <v>20</v>
      </c>
      <c r="J243" s="4">
        <v>286.5</v>
      </c>
      <c r="K243" s="3">
        <v>46274</v>
      </c>
      <c r="L243" t="s">
        <v>1397</v>
      </c>
    </row>
    <row r="244" spans="1:12">
      <c r="A244" t="s">
        <v>1398</v>
      </c>
      <c r="B244" s="3">
        <v>46275</v>
      </c>
      <c r="D244" t="s">
        <v>1399</v>
      </c>
      <c r="E244" t="s">
        <v>1400</v>
      </c>
      <c r="F244" t="s">
        <v>26</v>
      </c>
      <c r="G244" t="s">
        <v>146</v>
      </c>
      <c r="H244" t="s">
        <v>28</v>
      </c>
      <c r="I244" t="s">
        <v>20</v>
      </c>
      <c r="J244" t="s">
        <v>1401</v>
      </c>
      <c r="K244" s="3">
        <v>46279</v>
      </c>
      <c r="L244" t="s">
        <v>1402</v>
      </c>
    </row>
    <row r="245" spans="1:12">
      <c r="A245" t="s">
        <v>1403</v>
      </c>
      <c r="B245" t="s">
        <v>1404</v>
      </c>
      <c r="C245">
        <v>10019</v>
      </c>
      <c r="D245" t="s">
        <v>770</v>
      </c>
      <c r="E245" t="s">
        <v>771</v>
      </c>
      <c r="F245" t="s">
        <v>32</v>
      </c>
      <c r="G245" t="s">
        <v>103</v>
      </c>
      <c r="H245" t="s">
        <v>40</v>
      </c>
      <c r="I245" t="s">
        <v>74</v>
      </c>
      <c r="J245" s="4">
        <v>193</v>
      </c>
      <c r="K245" s="3">
        <v>46282</v>
      </c>
    </row>
    <row r="246" spans="1:12">
      <c r="A246" t="s">
        <v>1405</v>
      </c>
      <c r="B246" t="s">
        <v>1406</v>
      </c>
      <c r="D246" t="s">
        <v>465</v>
      </c>
      <c r="E246" t="s">
        <v>241</v>
      </c>
      <c r="F246" t="s">
        <v>292</v>
      </c>
      <c r="G246" t="s">
        <v>293</v>
      </c>
      <c r="H246" t="s">
        <v>199</v>
      </c>
      <c r="I246" t="s">
        <v>1326</v>
      </c>
      <c r="J246" t="s">
        <v>1407</v>
      </c>
    </row>
    <row r="247" spans="1:12">
      <c r="A247" t="s">
        <v>1408</v>
      </c>
      <c r="B247" s="3">
        <v>46279</v>
      </c>
      <c r="C247">
        <v>10056</v>
      </c>
      <c r="D247" t="s">
        <v>333</v>
      </c>
      <c r="E247" t="s">
        <v>582</v>
      </c>
      <c r="F247" t="s">
        <v>17</v>
      </c>
      <c r="G247" t="s">
        <v>78</v>
      </c>
      <c r="H247" t="s">
        <v>28</v>
      </c>
      <c r="I247" t="s">
        <v>20</v>
      </c>
      <c r="J247" s="4">
        <v>139</v>
      </c>
      <c r="K247" s="3">
        <v>46282</v>
      </c>
      <c r="L247" t="s">
        <v>1409</v>
      </c>
    </row>
    <row r="248" spans="1:12">
      <c r="A248" t="s">
        <v>1410</v>
      </c>
      <c r="B248" s="3">
        <v>46279</v>
      </c>
      <c r="C248">
        <v>10077</v>
      </c>
      <c r="D248" t="s">
        <v>203</v>
      </c>
      <c r="E248" t="s">
        <v>92</v>
      </c>
      <c r="F248" t="s">
        <v>61</v>
      </c>
      <c r="G248" t="s">
        <v>124</v>
      </c>
      <c r="H248" t="s">
        <v>472</v>
      </c>
      <c r="I248" t="s">
        <v>20</v>
      </c>
      <c r="J248" s="4">
        <v>472</v>
      </c>
      <c r="K248" s="3">
        <v>46280</v>
      </c>
      <c r="L248" t="s">
        <v>1411</v>
      </c>
    </row>
    <row r="249" spans="1:12">
      <c r="A249" t="s">
        <v>1412</v>
      </c>
      <c r="B249" t="s">
        <v>1413</v>
      </c>
      <c r="C249">
        <v>10109</v>
      </c>
      <c r="D249" t="s">
        <v>140</v>
      </c>
      <c r="E249" t="s">
        <v>141</v>
      </c>
      <c r="F249" t="s">
        <v>26</v>
      </c>
      <c r="G249" t="s">
        <v>146</v>
      </c>
      <c r="H249" t="s">
        <v>40</v>
      </c>
      <c r="I249" t="s">
        <v>1326</v>
      </c>
      <c r="J249" s="4">
        <v>717</v>
      </c>
    </row>
    <row r="250" spans="1:12">
      <c r="A250" t="s">
        <v>1414</v>
      </c>
      <c r="B250" s="3">
        <v>46279</v>
      </c>
      <c r="C250">
        <v>10111</v>
      </c>
      <c r="D250" t="s">
        <v>734</v>
      </c>
      <c r="E250" t="s">
        <v>735</v>
      </c>
      <c r="F250" t="s">
        <v>17</v>
      </c>
      <c r="G250" t="s">
        <v>18</v>
      </c>
      <c r="H250" t="s">
        <v>28</v>
      </c>
      <c r="I250" t="s">
        <v>74</v>
      </c>
      <c r="J250" s="4">
        <v>149</v>
      </c>
      <c r="K250" s="3">
        <v>46281</v>
      </c>
    </row>
    <row r="251" spans="1:12">
      <c r="A251" t="s">
        <v>1415</v>
      </c>
      <c r="B251" t="s">
        <v>1416</v>
      </c>
      <c r="D251" t="s">
        <v>371</v>
      </c>
      <c r="E251" t="s">
        <v>285</v>
      </c>
      <c r="F251" t="s">
        <v>17</v>
      </c>
      <c r="G251" t="s">
        <v>18</v>
      </c>
      <c r="H251" t="s">
        <v>19</v>
      </c>
      <c r="I251" t="s">
        <v>74</v>
      </c>
      <c r="J251" s="4">
        <v>139</v>
      </c>
      <c r="K251" s="3">
        <v>46286</v>
      </c>
    </row>
    <row r="252" spans="1:12">
      <c r="A252" t="s">
        <v>1417</v>
      </c>
      <c r="B252" s="3">
        <v>46281</v>
      </c>
      <c r="C252">
        <v>10036</v>
      </c>
      <c r="D252" t="s">
        <v>191</v>
      </c>
      <c r="E252" t="s">
        <v>192</v>
      </c>
      <c r="F252" t="s">
        <v>51</v>
      </c>
      <c r="G252" t="s">
        <v>151</v>
      </c>
      <c r="H252" t="s">
        <v>604</v>
      </c>
      <c r="I252" t="s">
        <v>1326</v>
      </c>
      <c r="J252" t="s">
        <v>841</v>
      </c>
    </row>
    <row r="253" spans="1:12">
      <c r="A253" t="s">
        <v>1418</v>
      </c>
      <c r="B253" s="3">
        <v>46281</v>
      </c>
      <c r="C253">
        <v>10050</v>
      </c>
      <c r="D253" t="s">
        <v>37</v>
      </c>
      <c r="E253" t="s">
        <v>364</v>
      </c>
      <c r="F253" t="s">
        <v>17</v>
      </c>
      <c r="G253" t="s">
        <v>88</v>
      </c>
      <c r="H253" t="s">
        <v>28</v>
      </c>
      <c r="I253" t="s">
        <v>74</v>
      </c>
      <c r="J253" s="4">
        <v>159</v>
      </c>
      <c r="K253" s="3">
        <v>46283</v>
      </c>
    </row>
    <row r="254" spans="1:12">
      <c r="A254" t="s">
        <v>1419</v>
      </c>
      <c r="B254" s="3">
        <v>46281</v>
      </c>
      <c r="C254">
        <v>10081</v>
      </c>
      <c r="D254" t="s">
        <v>159</v>
      </c>
      <c r="E254" t="s">
        <v>160</v>
      </c>
      <c r="F254" t="s">
        <v>32</v>
      </c>
      <c r="G254" t="s">
        <v>103</v>
      </c>
      <c r="H254" t="s">
        <v>40</v>
      </c>
      <c r="I254" t="s">
        <v>1326</v>
      </c>
      <c r="J254" s="4">
        <v>616</v>
      </c>
    </row>
    <row r="255" spans="1:12">
      <c r="A255" t="s">
        <v>1420</v>
      </c>
      <c r="B255" t="s">
        <v>1421</v>
      </c>
      <c r="C255">
        <v>10137</v>
      </c>
      <c r="D255" t="s">
        <v>626</v>
      </c>
      <c r="E255" t="s">
        <v>627</v>
      </c>
      <c r="F255" t="s">
        <v>61</v>
      </c>
      <c r="G255" t="s">
        <v>172</v>
      </c>
      <c r="H255" t="s">
        <v>40</v>
      </c>
      <c r="I255" t="s">
        <v>20</v>
      </c>
      <c r="J255" t="s">
        <v>841</v>
      </c>
      <c r="K255" s="3">
        <v>46287</v>
      </c>
      <c r="L255" t="s">
        <v>1422</v>
      </c>
    </row>
    <row r="256" spans="1:12">
      <c r="A256" t="s">
        <v>1423</v>
      </c>
      <c r="B256" t="s">
        <v>1424</v>
      </c>
      <c r="C256">
        <v>10008</v>
      </c>
      <c r="D256" t="s">
        <v>223</v>
      </c>
      <c r="E256" t="s">
        <v>480</v>
      </c>
      <c r="F256" t="s">
        <v>17</v>
      </c>
      <c r="G256" t="s">
        <v>88</v>
      </c>
      <c r="H256" t="s">
        <v>40</v>
      </c>
      <c r="I256" t="s">
        <v>74</v>
      </c>
      <c r="J256" s="4">
        <v>139</v>
      </c>
      <c r="K256" s="3">
        <v>46286</v>
      </c>
    </row>
    <row r="257" spans="1:12">
      <c r="A257" t="s">
        <v>1425</v>
      </c>
      <c r="B257" s="3">
        <v>46283</v>
      </c>
      <c r="C257">
        <v>10068</v>
      </c>
      <c r="D257" t="s">
        <v>250</v>
      </c>
      <c r="E257" t="s">
        <v>251</v>
      </c>
      <c r="F257" t="s">
        <v>17</v>
      </c>
      <c r="G257" t="s">
        <v>88</v>
      </c>
      <c r="H257" t="s">
        <v>28</v>
      </c>
      <c r="I257" t="s">
        <v>1326</v>
      </c>
      <c r="J257" s="4">
        <v>139</v>
      </c>
    </row>
    <row r="258" spans="1:12">
      <c r="A258" t="s">
        <v>1426</v>
      </c>
      <c r="B258" t="s">
        <v>1427</v>
      </c>
      <c r="D258" t="s">
        <v>421</v>
      </c>
      <c r="E258" t="s">
        <v>422</v>
      </c>
      <c r="F258" t="s">
        <v>17</v>
      </c>
      <c r="G258" t="s">
        <v>88</v>
      </c>
      <c r="H258" t="s">
        <v>28</v>
      </c>
      <c r="I258" t="s">
        <v>20</v>
      </c>
      <c r="J258" s="4">
        <v>139</v>
      </c>
      <c r="K258" s="3">
        <v>46287</v>
      </c>
      <c r="L258" t="s">
        <v>1428</v>
      </c>
    </row>
    <row r="259" spans="1:12">
      <c r="A259" t="s">
        <v>1429</v>
      </c>
      <c r="B259" s="3">
        <v>46286</v>
      </c>
      <c r="C259">
        <v>10050</v>
      </c>
      <c r="D259" t="s">
        <v>37</v>
      </c>
      <c r="E259" t="s">
        <v>571</v>
      </c>
      <c r="F259" t="s">
        <v>61</v>
      </c>
      <c r="G259" t="s">
        <v>62</v>
      </c>
      <c r="H259" t="s">
        <v>34</v>
      </c>
      <c r="I259" t="s">
        <v>20</v>
      </c>
      <c r="J259" t="s">
        <v>841</v>
      </c>
      <c r="K259" s="3">
        <v>46288</v>
      </c>
      <c r="L259" t="s">
        <v>1430</v>
      </c>
    </row>
    <row r="260" spans="1:12">
      <c r="A260" t="s">
        <v>1431</v>
      </c>
      <c r="B260" s="3">
        <v>46286</v>
      </c>
      <c r="C260">
        <v>10060</v>
      </c>
      <c r="D260" t="s">
        <v>644</v>
      </c>
      <c r="E260" t="s">
        <v>382</v>
      </c>
      <c r="F260" t="s">
        <v>225</v>
      </c>
      <c r="G260" t="s">
        <v>297</v>
      </c>
      <c r="H260" t="s">
        <v>40</v>
      </c>
      <c r="I260" t="s">
        <v>74</v>
      </c>
      <c r="J260" s="4">
        <v>252</v>
      </c>
      <c r="K260" s="3">
        <v>46289</v>
      </c>
    </row>
    <row r="261" spans="1:12">
      <c r="A261" t="s">
        <v>1432</v>
      </c>
      <c r="B261" t="s">
        <v>1433</v>
      </c>
      <c r="C261">
        <v>10067</v>
      </c>
      <c r="D261" t="s">
        <v>907</v>
      </c>
      <c r="E261" t="s">
        <v>455</v>
      </c>
      <c r="F261" t="s">
        <v>26</v>
      </c>
      <c r="G261" t="s">
        <v>302</v>
      </c>
      <c r="H261" t="s">
        <v>28</v>
      </c>
      <c r="I261" t="s">
        <v>74</v>
      </c>
      <c r="J261" s="4">
        <v>1147</v>
      </c>
      <c r="K261" s="3">
        <v>46290</v>
      </c>
    </row>
    <row r="262" spans="1:12">
      <c r="A262" t="s">
        <v>1434</v>
      </c>
      <c r="B262" s="3">
        <v>46286</v>
      </c>
      <c r="C262">
        <v>10117</v>
      </c>
      <c r="D262" t="s">
        <v>349</v>
      </c>
      <c r="E262" t="s">
        <v>350</v>
      </c>
      <c r="F262" t="s">
        <v>17</v>
      </c>
      <c r="G262" t="s">
        <v>88</v>
      </c>
      <c r="H262" t="s">
        <v>28</v>
      </c>
      <c r="I262" t="s">
        <v>74</v>
      </c>
      <c r="J262" t="s">
        <v>361</v>
      </c>
      <c r="K262" s="3">
        <v>46288</v>
      </c>
    </row>
    <row r="263" spans="1:12">
      <c r="A263" t="s">
        <v>1435</v>
      </c>
      <c r="B263" s="3">
        <v>46287</v>
      </c>
      <c r="C263">
        <v>10014</v>
      </c>
      <c r="D263" t="s">
        <v>59</v>
      </c>
      <c r="E263" t="s">
        <v>60</v>
      </c>
      <c r="F263" t="s">
        <v>61</v>
      </c>
      <c r="G263" t="s">
        <v>124</v>
      </c>
      <c r="H263" t="s">
        <v>19</v>
      </c>
      <c r="I263" t="s">
        <v>1326</v>
      </c>
      <c r="J263" t="s">
        <v>1436</v>
      </c>
    </row>
    <row r="264" spans="1:12">
      <c r="A264" t="s">
        <v>1437</v>
      </c>
      <c r="B264" s="3">
        <v>46287</v>
      </c>
      <c r="D264" t="s">
        <v>1150</v>
      </c>
      <c r="E264" t="s">
        <v>1151</v>
      </c>
      <c r="F264" t="s">
        <v>17</v>
      </c>
      <c r="G264" t="s">
        <v>119</v>
      </c>
      <c r="H264" t="s">
        <v>34</v>
      </c>
      <c r="I264" t="s">
        <v>1326</v>
      </c>
      <c r="J264" t="s">
        <v>21</v>
      </c>
    </row>
    <row r="265" spans="1:12">
      <c r="A265" t="s">
        <v>1438</v>
      </c>
      <c r="B265" s="3">
        <v>46287</v>
      </c>
      <c r="C265">
        <v>10097</v>
      </c>
      <c r="D265" t="s">
        <v>15</v>
      </c>
      <c r="E265" t="s">
        <v>16</v>
      </c>
      <c r="F265" t="s">
        <v>46</v>
      </c>
      <c r="G265" t="s">
        <v>512</v>
      </c>
      <c r="H265" t="s">
        <v>53</v>
      </c>
      <c r="I265" t="s">
        <v>1326</v>
      </c>
      <c r="J265" s="4">
        <v>9903</v>
      </c>
    </row>
    <row r="266" spans="1:12">
      <c r="A266" t="s">
        <v>1439</v>
      </c>
      <c r="B266" s="3">
        <v>46288</v>
      </c>
      <c r="C266">
        <v>10085</v>
      </c>
      <c r="D266" t="s">
        <v>237</v>
      </c>
      <c r="E266" t="s">
        <v>150</v>
      </c>
      <c r="F266" t="s">
        <v>17</v>
      </c>
      <c r="G266" t="s">
        <v>18</v>
      </c>
      <c r="H266" t="s">
        <v>28</v>
      </c>
      <c r="I266" t="s">
        <v>20</v>
      </c>
      <c r="J266" t="s">
        <v>1440</v>
      </c>
      <c r="K266" s="3">
        <v>46289</v>
      </c>
      <c r="L266" t="s">
        <v>1441</v>
      </c>
    </row>
    <row r="267" spans="1:12">
      <c r="A267" t="s">
        <v>1442</v>
      </c>
      <c r="B267" s="3">
        <v>46289</v>
      </c>
      <c r="C267">
        <v>10117</v>
      </c>
      <c r="D267" t="s">
        <v>349</v>
      </c>
      <c r="E267" t="s">
        <v>350</v>
      </c>
      <c r="F267" t="s">
        <v>26</v>
      </c>
      <c r="G267" t="s">
        <v>39</v>
      </c>
      <c r="H267" t="s">
        <v>28</v>
      </c>
      <c r="I267" t="s">
        <v>74</v>
      </c>
      <c r="J267" s="4">
        <v>299</v>
      </c>
      <c r="K267" s="3">
        <v>46289</v>
      </c>
    </row>
    <row r="268" spans="1:12">
      <c r="A268" t="s">
        <v>1443</v>
      </c>
      <c r="B268" s="3">
        <v>46290</v>
      </c>
      <c r="C268">
        <v>10012</v>
      </c>
      <c r="D268" t="s">
        <v>541</v>
      </c>
      <c r="E268" t="s">
        <v>542</v>
      </c>
      <c r="F268" t="s">
        <v>26</v>
      </c>
      <c r="G268" t="s">
        <v>108</v>
      </c>
      <c r="H268" t="s">
        <v>40</v>
      </c>
      <c r="I268" t="s">
        <v>20</v>
      </c>
      <c r="J268" t="s">
        <v>1444</v>
      </c>
      <c r="K268" s="3">
        <v>46290</v>
      </c>
    </row>
    <row r="269" spans="1:12">
      <c r="A269" t="s">
        <v>1445</v>
      </c>
      <c r="B269" t="s">
        <v>1446</v>
      </c>
      <c r="C269">
        <v>10005</v>
      </c>
      <c r="D269" t="s">
        <v>594</v>
      </c>
      <c r="E269" t="s">
        <v>941</v>
      </c>
      <c r="F269" t="s">
        <v>17</v>
      </c>
      <c r="G269" t="s">
        <v>18</v>
      </c>
      <c r="H269" t="s">
        <v>28</v>
      </c>
      <c r="I269" t="s">
        <v>74</v>
      </c>
      <c r="J269" t="s">
        <v>21</v>
      </c>
      <c r="K269" s="3">
        <v>46294</v>
      </c>
    </row>
    <row r="270" spans="1:12">
      <c r="A270" t="s">
        <v>1447</v>
      </c>
      <c r="B270" t="s">
        <v>1448</v>
      </c>
      <c r="D270" t="s">
        <v>154</v>
      </c>
      <c r="E270" t="s">
        <v>107</v>
      </c>
      <c r="F270" t="s">
        <v>61</v>
      </c>
      <c r="G270" t="s">
        <v>62</v>
      </c>
      <c r="H270" t="s">
        <v>40</v>
      </c>
      <c r="I270" t="s">
        <v>20</v>
      </c>
      <c r="J270" s="4">
        <v>1763</v>
      </c>
      <c r="K270" s="3">
        <v>46295</v>
      </c>
      <c r="L270" t="s">
        <v>1449</v>
      </c>
    </row>
    <row r="271" spans="1:12">
      <c r="A271" t="s">
        <v>1450</v>
      </c>
      <c r="B271" s="3">
        <v>46293</v>
      </c>
      <c r="D271" t="s">
        <v>1451</v>
      </c>
      <c r="E271" t="s">
        <v>360</v>
      </c>
      <c r="F271" t="s">
        <v>46</v>
      </c>
      <c r="G271" t="s">
        <v>1452</v>
      </c>
      <c r="H271" t="s">
        <v>48</v>
      </c>
      <c r="I271" t="s">
        <v>1453</v>
      </c>
      <c r="J271" s="4">
        <v>15480</v>
      </c>
    </row>
    <row r="272" spans="1:12">
      <c r="A272" t="s">
        <v>1454</v>
      </c>
      <c r="B272" s="3">
        <v>46294</v>
      </c>
      <c r="C272">
        <v>10009</v>
      </c>
      <c r="D272" t="s">
        <v>1399</v>
      </c>
      <c r="E272" t="s">
        <v>1400</v>
      </c>
      <c r="F272" t="s">
        <v>17</v>
      </c>
      <c r="G272" t="s">
        <v>119</v>
      </c>
      <c r="H272" t="s">
        <v>34</v>
      </c>
      <c r="I272" t="s">
        <v>74</v>
      </c>
      <c r="J272" t="s">
        <v>260</v>
      </c>
      <c r="K272" s="3">
        <v>46295</v>
      </c>
    </row>
    <row r="273" spans="1:11">
      <c r="A273" t="s">
        <v>1455</v>
      </c>
      <c r="B273" t="s">
        <v>1456</v>
      </c>
      <c r="C273">
        <v>10076</v>
      </c>
      <c r="D273" t="s">
        <v>327</v>
      </c>
      <c r="E273" t="s">
        <v>328</v>
      </c>
      <c r="F273" t="s">
        <v>26</v>
      </c>
      <c r="G273" t="s">
        <v>155</v>
      </c>
      <c r="H273" t="s">
        <v>28</v>
      </c>
      <c r="I273" t="s">
        <v>74</v>
      </c>
      <c r="J273" s="4">
        <v>140</v>
      </c>
      <c r="K273" s="3">
        <v>46300</v>
      </c>
    </row>
    <row r="274" spans="1:11">
      <c r="A274" t="s">
        <v>1457</v>
      </c>
      <c r="B274" t="s">
        <v>1458</v>
      </c>
      <c r="C274">
        <v>10101</v>
      </c>
      <c r="D274" t="s">
        <v>1006</v>
      </c>
      <c r="E274" t="s">
        <v>827</v>
      </c>
      <c r="F274" t="s">
        <v>26</v>
      </c>
      <c r="G274" t="s">
        <v>39</v>
      </c>
      <c r="H274" t="s">
        <v>28</v>
      </c>
      <c r="I274" t="s">
        <v>63</v>
      </c>
      <c r="J274" t="s">
        <v>1459</v>
      </c>
    </row>
    <row r="275" spans="1:11">
      <c r="D275" s="5" t="s">
        <v>1460</v>
      </c>
      <c r="J275" s="6">
        <f>SUBTOTAL(9,J231:J274)</f>
        <v>47155.5</v>
      </c>
    </row>
    <row r="277" spans="1:11">
      <c r="A277" t="s">
        <v>1461</v>
      </c>
      <c r="B277" t="s">
        <v>1462</v>
      </c>
      <c r="D277" t="s">
        <v>1285</v>
      </c>
      <c r="E277" t="s">
        <v>1286</v>
      </c>
      <c r="F277" t="s">
        <v>26</v>
      </c>
      <c r="G277" t="s">
        <v>108</v>
      </c>
      <c r="H277" t="s">
        <v>28</v>
      </c>
      <c r="I277" t="s">
        <v>1453</v>
      </c>
      <c r="J277" s="4">
        <v>1037</v>
      </c>
    </row>
    <row r="278" spans="1:11">
      <c r="A278" t="s">
        <v>1463</v>
      </c>
      <c r="B278" t="s">
        <v>1464</v>
      </c>
      <c r="C278">
        <v>10077</v>
      </c>
      <c r="D278" t="s">
        <v>91</v>
      </c>
      <c r="E278" t="s">
        <v>92</v>
      </c>
      <c r="F278" t="s">
        <v>292</v>
      </c>
      <c r="G278" t="s">
        <v>293</v>
      </c>
      <c r="H278" t="s">
        <v>40</v>
      </c>
      <c r="I278" t="s">
        <v>1453</v>
      </c>
      <c r="J278" t="s">
        <v>1339</v>
      </c>
    </row>
    <row r="279" spans="1:11">
      <c r="A279" t="s">
        <v>1465</v>
      </c>
      <c r="B279" t="s">
        <v>1464</v>
      </c>
      <c r="C279">
        <v>10082</v>
      </c>
      <c r="D279" t="s">
        <v>66</v>
      </c>
      <c r="E279" t="s">
        <v>67</v>
      </c>
      <c r="F279" t="s">
        <v>17</v>
      </c>
      <c r="G279" t="s">
        <v>18</v>
      </c>
      <c r="H279" t="s">
        <v>19</v>
      </c>
      <c r="I279" t="s">
        <v>1466</v>
      </c>
      <c r="J279" t="s">
        <v>1467</v>
      </c>
    </row>
    <row r="280" spans="1:11">
      <c r="A280" t="s">
        <v>1468</v>
      </c>
      <c r="B280" s="3">
        <v>46297</v>
      </c>
      <c r="C280">
        <v>10008</v>
      </c>
      <c r="D280" t="s">
        <v>223</v>
      </c>
      <c r="E280" t="s">
        <v>480</v>
      </c>
      <c r="F280" t="s">
        <v>17</v>
      </c>
      <c r="G280" t="s">
        <v>1469</v>
      </c>
      <c r="H280" t="s">
        <v>28</v>
      </c>
      <c r="I280" t="s">
        <v>1453</v>
      </c>
      <c r="J280" t="s">
        <v>1470</v>
      </c>
    </row>
    <row r="281" spans="1:11">
      <c r="A281" t="s">
        <v>1471</v>
      </c>
      <c r="B281" t="s">
        <v>1472</v>
      </c>
      <c r="D281" t="s">
        <v>688</v>
      </c>
      <c r="E281" t="s">
        <v>689</v>
      </c>
      <c r="F281" t="s">
        <v>17</v>
      </c>
      <c r="G281" t="s">
        <v>78</v>
      </c>
      <c r="H281" t="s">
        <v>28</v>
      </c>
      <c r="I281" t="s">
        <v>1453</v>
      </c>
      <c r="J281" s="4">
        <v>139</v>
      </c>
    </row>
    <row r="282" spans="1:11">
      <c r="A282" t="s">
        <v>1473</v>
      </c>
      <c r="B282" t="s">
        <v>1474</v>
      </c>
      <c r="C282">
        <v>10118</v>
      </c>
      <c r="D282" t="s">
        <v>1475</v>
      </c>
      <c r="E282" t="s">
        <v>670</v>
      </c>
      <c r="F282" t="s">
        <v>17</v>
      </c>
      <c r="G282" t="s">
        <v>78</v>
      </c>
      <c r="H282" t="s">
        <v>19</v>
      </c>
      <c r="I282" t="s">
        <v>1466</v>
      </c>
      <c r="J282" s="4">
        <v>159</v>
      </c>
    </row>
    <row r="283" spans="1:11">
      <c r="A283" t="s">
        <v>1476</v>
      </c>
      <c r="B283" s="3">
        <v>46304</v>
      </c>
      <c r="C283">
        <v>10092</v>
      </c>
      <c r="D283" t="s">
        <v>1477</v>
      </c>
      <c r="E283" t="s">
        <v>933</v>
      </c>
      <c r="F283" t="s">
        <v>17</v>
      </c>
      <c r="G283" t="s">
        <v>88</v>
      </c>
      <c r="H283" t="s">
        <v>19</v>
      </c>
      <c r="I283" t="s">
        <v>1466</v>
      </c>
      <c r="J283" s="4">
        <v>139</v>
      </c>
    </row>
    <row r="284" spans="1:11">
      <c r="A284" t="s">
        <v>1478</v>
      </c>
      <c r="B284" s="3">
        <v>46307</v>
      </c>
      <c r="C284">
        <v>10005</v>
      </c>
      <c r="D284" t="s">
        <v>594</v>
      </c>
      <c r="E284" t="s">
        <v>595</v>
      </c>
      <c r="F284" t="s">
        <v>26</v>
      </c>
      <c r="G284" t="s">
        <v>146</v>
      </c>
      <c r="H284" t="s">
        <v>19</v>
      </c>
      <c r="I284" t="s">
        <v>1466</v>
      </c>
      <c r="J284" s="4">
        <v>391</v>
      </c>
    </row>
    <row r="285" spans="1:11">
      <c r="A285" t="s">
        <v>1479</v>
      </c>
      <c r="B285" t="s">
        <v>1480</v>
      </c>
      <c r="D285" t="s">
        <v>522</v>
      </c>
      <c r="E285" t="s">
        <v>265</v>
      </c>
      <c r="F285" t="s">
        <v>17</v>
      </c>
      <c r="G285" t="s">
        <v>119</v>
      </c>
      <c r="H285" t="s">
        <v>40</v>
      </c>
      <c r="I285" t="s">
        <v>1453</v>
      </c>
      <c r="J285" s="4">
        <v>139</v>
      </c>
    </row>
    <row r="286" spans="1:11">
      <c r="A286" t="s">
        <v>1481</v>
      </c>
      <c r="B286" s="3">
        <v>46307</v>
      </c>
      <c r="C286">
        <v>10134</v>
      </c>
      <c r="D286" t="s">
        <v>1482</v>
      </c>
      <c r="E286" t="s">
        <v>1483</v>
      </c>
      <c r="F286" t="s">
        <v>46</v>
      </c>
      <c r="G286" t="s">
        <v>1484</v>
      </c>
      <c r="H286" t="s">
        <v>1485</v>
      </c>
      <c r="I286" t="s">
        <v>1466</v>
      </c>
      <c r="J286" t="s">
        <v>1486</v>
      </c>
    </row>
    <row r="287" spans="1:11">
      <c r="A287" t="s">
        <v>1487</v>
      </c>
      <c r="B287" s="3">
        <v>46309</v>
      </c>
      <c r="C287">
        <v>10026</v>
      </c>
      <c r="D287" t="s">
        <v>300</v>
      </c>
      <c r="E287" t="s">
        <v>301</v>
      </c>
      <c r="F287" t="s">
        <v>26</v>
      </c>
      <c r="G287" t="s">
        <v>188</v>
      </c>
      <c r="H287" t="s">
        <v>28</v>
      </c>
      <c r="I287" t="s">
        <v>1466</v>
      </c>
      <c r="J287" s="4">
        <v>268</v>
      </c>
    </row>
    <row r="288" spans="1:11">
      <c r="D288" s="5" t="s">
        <v>1488</v>
      </c>
      <c r="J288" s="6">
        <f>SUBTOTAL(9,J277:J287)</f>
        <v>2272.0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s="1" t="s">
        <v>1489</v>
      </c>
    </row>
    <row r="3" spans="1:12">
      <c r="A3" s="2" t="s">
        <v>9</v>
      </c>
      <c r="B3" s="2" t="s">
        <v>1490</v>
      </c>
      <c r="C3" s="2" t="s">
        <v>1491</v>
      </c>
      <c r="D3" s="2" t="s">
        <v>1492</v>
      </c>
      <c r="E3" s="2" t="s">
        <v>1493</v>
      </c>
      <c r="F3" s="2" t="s">
        <v>1494</v>
      </c>
      <c r="G3" s="2" t="s">
        <v>1495</v>
      </c>
      <c r="H3" s="2" t="s">
        <v>1496</v>
      </c>
      <c r="I3" s="2" t="s">
        <v>1497</v>
      </c>
      <c r="J3" s="2" t="s">
        <v>1498</v>
      </c>
      <c r="K3" s="2" t="s">
        <v>1499</v>
      </c>
      <c r="L3" s="2" t="s">
        <v>1500</v>
      </c>
    </row>
    <row r="4" spans="1:12">
      <c r="A4" t="s">
        <v>1485</v>
      </c>
      <c r="B4">
        <f>COUNTIFS('2026'!H:H,"*TB*",'2026'!B:B,"&gt;="&amp;DATE(2026,1,1),'2026'!B:B,"&lt;"&amp;DATE(2026,2,1))</f>
        <v>0</v>
      </c>
      <c r="C4">
        <f>COUNTIFS('2026'!H:H,"*TB*",'2026'!B:B,"&gt;="&amp;DATE(2026,2,1),'2026'!B:B,"&lt;"&amp;DATE(2026,3,1))</f>
        <v>0</v>
      </c>
      <c r="D4">
        <f>COUNTIFS('2026'!H:H,"*TB*",'2026'!B:B,"&gt;="&amp;DATE(2026,3,1),'2026'!B:B,"&lt;"&amp;DATE(2026,4,1))</f>
        <v>0</v>
      </c>
      <c r="E4">
        <f>COUNTIFS('2026'!H:H,"*TB*",'2026'!B:B,"&gt;="&amp;DATE(2026,4,1),'2026'!B:B,"&lt;"&amp;DATE(2026,5,1))</f>
        <v>0</v>
      </c>
      <c r="F4">
        <f>COUNTIFS('2026'!H:H,"*TB*",'2026'!B:B,"&gt;="&amp;DATE(2026,5,1),'2026'!B:B,"&lt;"&amp;DATE(2026,6,1))</f>
        <v>0</v>
      </c>
      <c r="G4">
        <f>COUNTIFS('2026'!H:H,"*TB*",'2026'!B:B,"&gt;="&amp;DATE(2026,6,1),'2026'!B:B,"&lt;"&amp;DATE(2026,7,1))</f>
        <v>0</v>
      </c>
      <c r="H4">
        <f>COUNTIFS('2026'!H:H,"*TB*",'2026'!B:B,"&gt;="&amp;DATE(2026,7,1),'2026'!B:B,"&lt;"&amp;DATE(2026,8,1))</f>
        <v>0</v>
      </c>
      <c r="I4">
        <f>COUNTIFS('2026'!H:H,"*TB*",'2026'!B:B,"&gt;="&amp;DATE(2026,8,1),'2026'!B:B,"&lt;"&amp;DATE(2026,9,1))</f>
        <v>0</v>
      </c>
      <c r="J4">
        <f>COUNTIFS('2026'!H:H,"*TB*",'2026'!B:B,"&gt;="&amp;DATE(2026,9,1),'2026'!B:B,"&lt;"&amp;DATE(2026,10,1))</f>
        <v>0</v>
      </c>
      <c r="K4">
        <f>COUNTIFS('2026'!H:H,"*TB*",'2026'!B:B,"&gt;="&amp;DATE(2026,10,1),'2026'!B:B,"&lt;"&amp;DATE(2026,11,1))</f>
        <v>1</v>
      </c>
      <c r="L4">
        <f>SUM(B4:K4)</f>
        <v>1</v>
      </c>
    </row>
    <row r="5" spans="1:12">
      <c r="A5" t="s">
        <v>28</v>
      </c>
      <c r="B5">
        <f>COUNTIFS('2026'!H:H,"*JK*",'2026'!B:B,"&gt;="&amp;DATE(2026,1,1),'2026'!B:B,"&lt;"&amp;DATE(2026,2,1))</f>
        <v>16</v>
      </c>
      <c r="C5">
        <f>COUNTIFS('2026'!H:H,"*JK*",'2026'!B:B,"&gt;="&amp;DATE(2026,2,1),'2026'!B:B,"&lt;"&amp;DATE(2026,3,1))</f>
        <v>7</v>
      </c>
      <c r="D5">
        <f>COUNTIFS('2026'!H:H,"*JK*",'2026'!B:B,"&gt;="&amp;DATE(2026,3,1),'2026'!B:B,"&lt;"&amp;DATE(2026,4,1))</f>
        <v>7</v>
      </c>
      <c r="E5">
        <f>COUNTIFS('2026'!H:H,"*JK*",'2026'!B:B,"&gt;="&amp;DATE(2026,4,1),'2026'!B:B,"&lt;"&amp;DATE(2026,5,1))</f>
        <v>9</v>
      </c>
      <c r="F5">
        <f>COUNTIFS('2026'!H:H,"*JK*",'2026'!B:B,"&gt;="&amp;DATE(2026,5,1),'2026'!B:B,"&lt;"&amp;DATE(2026,6,1))</f>
        <v>12</v>
      </c>
      <c r="G5">
        <f>COUNTIFS('2026'!H:H,"*JK*",'2026'!B:B,"&gt;="&amp;DATE(2026,6,1),'2026'!B:B,"&lt;"&amp;DATE(2026,7,1))</f>
        <v>10</v>
      </c>
      <c r="H5">
        <f>COUNTIFS('2026'!H:H,"*JK*",'2026'!B:B,"&gt;="&amp;DATE(2026,7,1),'2026'!B:B,"&lt;"&amp;DATE(2026,8,1))</f>
        <v>5</v>
      </c>
      <c r="I5">
        <f>COUNTIFS('2026'!H:H,"*JK*",'2026'!B:B,"&gt;="&amp;DATE(2026,8,1),'2026'!B:B,"&lt;"&amp;DATE(2026,9,1))</f>
        <v>6</v>
      </c>
      <c r="J5">
        <f>COUNTIFS('2026'!H:H,"*JK*",'2026'!B:B,"&gt;="&amp;DATE(2026,9,1),'2026'!B:B,"&lt;"&amp;DATE(2026,10,1))</f>
        <v>19</v>
      </c>
      <c r="K5">
        <f>COUNTIFS('2026'!H:H,"*JK*",'2026'!B:B,"&gt;="&amp;DATE(2026,10,1),'2026'!B:B,"&lt;"&amp;DATE(2026,11,1))</f>
        <v>4</v>
      </c>
      <c r="L5">
        <f>SUM(B5:K5)</f>
        <v>95</v>
      </c>
    </row>
    <row r="6" spans="1:12">
      <c r="A6" t="s">
        <v>40</v>
      </c>
      <c r="B6">
        <f>COUNTIFS('2026'!H:H,"*MR*",'2026'!B:B,"&gt;="&amp;DATE(2026,1,1),'2026'!B:B,"&lt;"&amp;DATE(2026,2,1))</f>
        <v>9</v>
      </c>
      <c r="C6">
        <f>COUNTIFS('2026'!H:H,"*MR*",'2026'!B:B,"&gt;="&amp;DATE(2026,2,1),'2026'!B:B,"&lt;"&amp;DATE(2026,3,1))</f>
        <v>6</v>
      </c>
      <c r="D6">
        <f>COUNTIFS('2026'!H:H,"*MR*",'2026'!B:B,"&gt;="&amp;DATE(2026,3,1),'2026'!B:B,"&lt;"&amp;DATE(2026,4,1))</f>
        <v>5</v>
      </c>
      <c r="E6">
        <f>COUNTIFS('2026'!H:H,"*MR*",'2026'!B:B,"&gt;="&amp;DATE(2026,4,1),'2026'!B:B,"&lt;"&amp;DATE(2026,5,1))</f>
        <v>4</v>
      </c>
      <c r="F6">
        <f>COUNTIFS('2026'!H:H,"*MR*",'2026'!B:B,"&gt;="&amp;DATE(2026,5,1),'2026'!B:B,"&lt;"&amp;DATE(2026,6,1))</f>
        <v>6</v>
      </c>
      <c r="G6">
        <f>COUNTIFS('2026'!H:H,"*MR*",'2026'!B:B,"&gt;="&amp;DATE(2026,6,1),'2026'!B:B,"&lt;"&amp;DATE(2026,7,1))</f>
        <v>7</v>
      </c>
      <c r="H6">
        <f>COUNTIFS('2026'!H:H,"*MR*",'2026'!B:B,"&gt;="&amp;DATE(2026,7,1),'2026'!B:B,"&lt;"&amp;DATE(2026,8,1))</f>
        <v>11</v>
      </c>
      <c r="I6">
        <f>COUNTIFS('2026'!H:H,"*MR*",'2026'!B:B,"&gt;="&amp;DATE(2026,8,1),'2026'!B:B,"&lt;"&amp;DATE(2026,9,1))</f>
        <v>5</v>
      </c>
      <c r="J6">
        <f>COUNTIFS('2026'!H:H,"*MR*",'2026'!B:B,"&gt;="&amp;DATE(2026,9,1),'2026'!B:B,"&lt;"&amp;DATE(2026,10,1))</f>
        <v>13</v>
      </c>
      <c r="K6">
        <f>COUNTIFS('2026'!H:H,"*MR*",'2026'!B:B,"&gt;="&amp;DATE(2026,10,1),'2026'!B:B,"&lt;"&amp;DATE(2026,11,1))</f>
        <v>2</v>
      </c>
      <c r="L6">
        <f>SUM(B6:K6)</f>
        <v>68</v>
      </c>
    </row>
    <row r="7" spans="1:12">
      <c r="A7" t="s">
        <v>19</v>
      </c>
      <c r="B7">
        <f>COUNTIFS('2026'!H:H,"*DH*",'2026'!B:B,"&gt;="&amp;DATE(2026,1,1),'2026'!B:B,"&lt;"&amp;DATE(2026,2,1))</f>
        <v>6</v>
      </c>
      <c r="C7">
        <f>COUNTIFS('2026'!H:H,"*DH*",'2026'!B:B,"&gt;="&amp;DATE(2026,2,1),'2026'!B:B,"&lt;"&amp;DATE(2026,3,1))</f>
        <v>6</v>
      </c>
      <c r="D7">
        <f>COUNTIFS('2026'!H:H,"*DH*",'2026'!B:B,"&gt;="&amp;DATE(2026,3,1),'2026'!B:B,"&lt;"&amp;DATE(2026,4,1))</f>
        <v>5</v>
      </c>
      <c r="E7">
        <f>COUNTIFS('2026'!H:H,"*DH*",'2026'!B:B,"&gt;="&amp;DATE(2026,4,1),'2026'!B:B,"&lt;"&amp;DATE(2026,5,1))</f>
        <v>3</v>
      </c>
      <c r="F7">
        <f>COUNTIFS('2026'!H:H,"*DH*",'2026'!B:B,"&gt;="&amp;DATE(2026,5,1),'2026'!B:B,"&lt;"&amp;DATE(2026,6,1))</f>
        <v>5</v>
      </c>
      <c r="G7">
        <f>COUNTIFS('2026'!H:H,"*DH*",'2026'!B:B,"&gt;="&amp;DATE(2026,6,1),'2026'!B:B,"&lt;"&amp;DATE(2026,7,1))</f>
        <v>6</v>
      </c>
      <c r="H7">
        <f>COUNTIFS('2026'!H:H,"*DH*",'2026'!B:B,"&gt;="&amp;DATE(2026,7,1),'2026'!B:B,"&lt;"&amp;DATE(2026,8,1))</f>
        <v>5</v>
      </c>
      <c r="I7">
        <f>COUNTIFS('2026'!H:H,"*DH*",'2026'!B:B,"&gt;="&amp;DATE(2026,8,1),'2026'!B:B,"&lt;"&amp;DATE(2026,9,1))</f>
        <v>3</v>
      </c>
      <c r="J7">
        <f>COUNTIFS('2026'!H:H,"*DH*",'2026'!B:B,"&gt;="&amp;DATE(2026,9,1),'2026'!B:B,"&lt;"&amp;DATE(2026,10,1))</f>
        <v>5</v>
      </c>
      <c r="K7">
        <f>COUNTIFS('2026'!H:H,"*DH*",'2026'!B:B,"&gt;="&amp;DATE(2026,10,1),'2026'!B:B,"&lt;"&amp;DATE(2026,11,1))</f>
        <v>4</v>
      </c>
      <c r="L7">
        <f>SUM(B7:K7)</f>
        <v>48</v>
      </c>
    </row>
    <row r="8" spans="1:12">
      <c r="A8" t="s">
        <v>34</v>
      </c>
      <c r="B8">
        <f>COUNTIFS('2026'!H:H,"*AY*",'2026'!B:B,"&gt;="&amp;DATE(2026,1,1),'2026'!B:B,"&lt;"&amp;DATE(2026,2,1))</f>
        <v>7</v>
      </c>
      <c r="C8">
        <f>COUNTIFS('2026'!H:H,"*AY*",'2026'!B:B,"&gt;="&amp;DATE(2026,2,1),'2026'!B:B,"&lt;"&amp;DATE(2026,3,1))</f>
        <v>2</v>
      </c>
      <c r="D8">
        <f>COUNTIFS('2026'!H:H,"*AY*",'2026'!B:B,"&gt;="&amp;DATE(2026,3,1),'2026'!B:B,"&lt;"&amp;DATE(2026,4,1))</f>
        <v>8</v>
      </c>
      <c r="E8">
        <f>COUNTIFS('2026'!H:H,"*AY*",'2026'!B:B,"&gt;="&amp;DATE(2026,4,1),'2026'!B:B,"&lt;"&amp;DATE(2026,5,1))</f>
        <v>2</v>
      </c>
      <c r="F8">
        <f>COUNTIFS('2026'!H:H,"*AY*",'2026'!B:B,"&gt;="&amp;DATE(2026,5,1),'2026'!B:B,"&lt;"&amp;DATE(2026,6,1))</f>
        <v>3</v>
      </c>
      <c r="G8">
        <f>COUNTIFS('2026'!H:H,"*AY*",'2026'!B:B,"&gt;="&amp;DATE(2026,6,1),'2026'!B:B,"&lt;"&amp;DATE(2026,7,1))</f>
        <v>11</v>
      </c>
      <c r="H8">
        <f>COUNTIFS('2026'!H:H,"*AY*",'2026'!B:B,"&gt;="&amp;DATE(2026,7,1),'2026'!B:B,"&lt;"&amp;DATE(2026,8,1))</f>
        <v>10</v>
      </c>
      <c r="I8">
        <f>COUNTIFS('2026'!H:H,"*AY*",'2026'!B:B,"&gt;="&amp;DATE(2026,8,1),'2026'!B:B,"&lt;"&amp;DATE(2026,9,1))</f>
        <v>4</v>
      </c>
      <c r="J8">
        <f>COUNTIFS('2026'!H:H,"*AY*",'2026'!B:B,"&gt;="&amp;DATE(2026,9,1),'2026'!B:B,"&lt;"&amp;DATE(2026,10,1))</f>
        <v>7</v>
      </c>
      <c r="K8">
        <f>COUNTIFS('2026'!H:H,"*AY*",'2026'!B:B,"&gt;="&amp;DATE(2026,10,1),'2026'!B:B,"&lt;"&amp;DATE(2026,11,1))</f>
        <v>0</v>
      </c>
      <c r="L8">
        <f>SUM(B8:K8)</f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</vt:lpstr>
      <vt:lpstr>2026</vt:lpstr>
      <vt:lpstr>Auswertung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2026-10-28T18:28:54Z</dcterms:created>
  <dcterms:modified xsi:type="dcterms:W3CDTF">2026-10-28T18:28:54Z</dcterms:modified>
</cp:coreProperties>
</file>